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Historicals" sheetId="3" state="visible" r:id="rId5"/>
    <sheet name="Forecast" sheetId="4" state="visible" r:id="rId6"/>
    <sheet name="Debt &amp; Liquidity" sheetId="5" state="visible" r:id="rId7"/>
    <sheet name="Options" sheetId="6" state="visible" r:id="rId8"/>
    <sheet name="Scenarios" sheetId="7" state="visible" r:id="rId9"/>
    <sheet name="Sensitivity" sheetId="8" state="visible" r:id="rId10"/>
    <sheet name="Export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<sst xmlns="http://schemas.openxmlformats.org/spreadsheetml/2006/main" count="620" uniqueCount="465">
  <si>
    <t xml:space="preserve">ITV plc — Capital Structure, Liquidity &amp; Refinancing Analysis</t>
  </si>
  <si>
    <t xml:space="preserve">Independent finance work sample | Information cutoff: 15 September 2026 | £m unless otherwise stated</t>
  </si>
  <si>
    <t xml:space="preserve">Executive Summary</t>
  </si>
  <si>
    <t xml:space="preserve">Metric</t>
  </si>
  <si>
    <t xml:space="preserve">Standalone Base</t>
  </si>
  <si>
    <t xml:space="preserve">FY2026E reported net debt</t>
  </si>
  <si>
    <t xml:space="preserve">FY2028E reported net debt</t>
  </si>
  <si>
    <t xml:space="preserve">FY2028E covenant leverage</t>
  </si>
  <si>
    <t xml:space="preserve">FY2028E cash balance</t>
  </si>
  <si>
    <t xml:space="preserve">2026 refinancing</t>
  </si>
  <si>
    <t xml:space="preserve">Pre-funded via existing £300m term loan</t>
  </si>
  <si>
    <t xml:space="preserve">Funding action trigger</t>
  </si>
  <si>
    <t xml:space="preserve">Cash &lt; £250m before committed facility draw</t>
  </si>
  <si>
    <t xml:space="preserve">Margin at funding-action trigger</t>
  </si>
  <si>
    <t xml:space="preserve">Core Conclusions</t>
  </si>
  <si>
    <t xml:space="preserve">1</t>
  </si>
  <si>
    <t xml:space="preserve">Standalone base remains internally funded; no new bond or equity raise is assumed through FY2028.</t>
  </si>
  <si>
    <t xml:space="preserve">2</t>
  </si>
  <si>
    <t xml:space="preserve">The September 2026 €360m bond maturity is addressed by the pre-arranged £300m term loan facility; residual liquidity remains available.</t>
  </si>
  <si>
    <t xml:space="preserve">3</t>
  </si>
  <si>
    <t xml:space="preserve">FY2028 reported net debt falls to the high-£400m range in the corrected base case; covenant leverage remains below 1.0x.</t>
  </si>
  <si>
    <t xml:space="preserve">4</t>
  </si>
  <si>
    <t xml:space="preserve">A £100m buyback is explicitly modelled in FY2026, consistent with the announced programme; it slows near-term deleveraging.</t>
  </si>
  <si>
    <t xml:space="preserve">5</t>
  </si>
  <si>
    <t xml:space="preserve">Sensitivity indicates the model cash-floor funding-action trigger at approximately 12.2% EBITA margin under the base growth, financing and cash-conversion assumptions.</t>
  </si>
  <si>
    <t xml:space="preserve">6</t>
  </si>
  <si>
    <t xml:space="preserve">Sky transaction is shown separately because completion is subject to regulatory approval; its consideration and shareholder return are not embedded in the standalone base forecast.</t>
  </si>
  <si>
    <t xml:space="preserve">Transaction-Adjusted Case — Strategic Overlay</t>
  </si>
  <si>
    <t xml:space="preserve">Item</t>
  </si>
  <si>
    <t xml:space="preserve">Treatment</t>
  </si>
  <si>
    <t xml:space="preserve">Transaction</t>
  </si>
  <si>
    <t xml:space="preserve">M&amp;E sale to Sky; completion assumed H2 2027 in strategic case</t>
  </si>
  <si>
    <t xml:space="preserve">Initial cash consideration</t>
  </si>
  <si>
    <t xml:space="preserve">£1.2bn</t>
  </si>
  <si>
    <t xml:space="preserve">Love Productions contribution</t>
  </si>
  <si>
    <t xml:space="preserve">£200m non-cash consideration</t>
  </si>
  <si>
    <t xml:space="preserve">Contingent consideration</t>
  </si>
  <si>
    <t xml:space="preserve">Up to £200m</t>
  </si>
  <si>
    <t xml:space="preserve">Transaction &amp; separation costs</t>
  </si>
  <si>
    <t xml:space="preserve">~£185m gross over 3–4 years</t>
  </si>
  <si>
    <t xml:space="preserve">Expected net cash return</t>
  </si>
  <si>
    <t xml:space="preserve">~£950m to shareholders, excluding contingent consideration</t>
  </si>
  <si>
    <t xml:space="preserve">Scenario Snapshot</t>
  </si>
  <si>
    <t xml:space="preserve">Scenario</t>
  </si>
  <si>
    <t xml:space="preserve">FY2028 Revenue</t>
  </si>
  <si>
    <t xml:space="preserve">FY2028 Reported Net Debt</t>
  </si>
  <si>
    <t xml:space="preserve">FY2028 Covenant Leverage</t>
  </si>
  <si>
    <t xml:space="preserve">Min. Cash</t>
  </si>
  <si>
    <t xml:space="preserve">Cash Floor Breach?</t>
  </si>
  <si>
    <t xml:space="preserve">Existing Liquidity Available</t>
  </si>
  <si>
    <t xml:space="preserve">Comment</t>
  </si>
  <si>
    <t xml:space="preserve">Base</t>
  </si>
  <si>
    <t xml:space="preserve">Downside</t>
  </si>
  <si>
    <t xml:space="preserve">Upside</t>
  </si>
  <si>
    <t xml:space="preserve">Liquidity Stress</t>
  </si>
  <si>
    <t xml:space="preserve">Assumptions</t>
  </si>
  <si>
    <t xml:space="preserve">Hardcoded inputs are blue; source-linked inputs are documented in cell comments.</t>
  </si>
  <si>
    <t xml:space="preserve">Operating &amp; Financing Assumptions</t>
  </si>
  <si>
    <t xml:space="preserve">Input</t>
  </si>
  <si>
    <t xml:space="preserve">Value</t>
  </si>
  <si>
    <t xml:space="preserve">Notes</t>
  </si>
  <si>
    <t xml:space="preserve">Revenue growth</t>
  </si>
  <si>
    <t xml:space="preserve">FY2026E–FY2028E</t>
  </si>
  <si>
    <t xml:space="preserve">Adjusted EBITA margin</t>
  </si>
  <si>
    <t xml:space="preserve">Standalone operating assumption</t>
  </si>
  <si>
    <t xml:space="preserve">Depreciation</t>
  </si>
  <si>
    <t xml:space="preserve">£m per year</t>
  </si>
  <si>
    <t xml:space="preserve">ROU depreciation</t>
  </si>
  <si>
    <t xml:space="preserve">Interest on lease liabilities</t>
  </si>
  <si>
    <t xml:space="preserve">Adjusted financing costs</t>
  </si>
  <si>
    <t xml:space="preserve">Effective tax rate</t>
  </si>
  <si>
    <t xml:space="preserve">Model cash tax assumption</t>
  </si>
  <si>
    <t xml:space="preserve">Profit-to-cash conversion</t>
  </si>
  <si>
    <t xml:space="preserve">Applied to adjusted EBITA; capex is treated as embedded in adjusted cash flow</t>
  </si>
  <si>
    <t xml:space="preserve">Pension funding</t>
  </si>
  <si>
    <t xml:space="preserve">Dividend per share</t>
  </si>
  <si>
    <t xml:space="preserve">£ per share / 5.0p</t>
  </si>
  <si>
    <t xml:space="preserve">Shares outstanding</t>
  </si>
  <si>
    <t xml:space="preserve">m shares</t>
  </si>
  <si>
    <t xml:space="preserve">Capex planning reference</t>
  </si>
  <si>
    <t xml:space="preserve">£m; not separately deducted because ITV's adjusted cash flow definition is net of capex</t>
  </si>
  <si>
    <t xml:space="preserve">Cash opening H1 2026A</t>
  </si>
  <si>
    <t xml:space="preserve">£m</t>
  </si>
  <si>
    <t xml:space="preserve">H1 2026 to FY2026 Bridge</t>
  </si>
  <si>
    <t xml:space="preserve">Source / treatment</t>
  </si>
  <si>
    <t xml:space="preserve">H1 2026 reported net debt</t>
  </si>
  <si>
    <t xml:space="preserve">H1 2026 interim results</t>
  </si>
  <si>
    <t xml:space="preserve">H1 2026 covenant adjusted EBITDA (rolling)</t>
  </si>
  <si>
    <t xml:space="preserve">H1 2026 covenant leverage</t>
  </si>
  <si>
    <t xml:space="preserve">H1 2026 free cash flow</t>
  </si>
  <si>
    <t xml:space="preserve">Model historical input from supplied dataset</t>
  </si>
  <si>
    <t xml:space="preserve">Standalone FY2026E year-end net debt</t>
  </si>
  <si>
    <t xml:space="preserve">Formula-driven from H1 actual + H2 forecast</t>
  </si>
  <si>
    <t xml:space="preserve">Covenant Adjustments</t>
  </si>
  <si>
    <t xml:space="preserve">Long-term trade payables</t>
  </si>
  <si>
    <t xml:space="preserve">FY2025 APM; H1 2026 bridge uses reported covenant net debt as opening actual</t>
  </si>
  <si>
    <t xml:space="preserve">Other pension asset</t>
  </si>
  <si>
    <t xml:space="preserve">Covenant leverage limit</t>
  </si>
  <si>
    <t xml:space="preserve">RCF covenant</t>
  </si>
  <si>
    <t xml:space="preserve">Interest cover minimum</t>
  </si>
  <si>
    <t xml:space="preserve">Shareholder Returns</t>
  </si>
  <si>
    <t xml:space="preserve">FY2026 buyback</t>
  </si>
  <si>
    <t xml:space="preserve">Announced 31 Jul 2026; maximum consideration</t>
  </si>
  <si>
    <t xml:space="preserve">Buyback execution period</t>
  </si>
  <si>
    <t xml:space="preserve">9–12 months</t>
  </si>
  <si>
    <t xml:space="preserve">Announced programme period / management commentary</t>
  </si>
  <si>
    <t xml:space="preserve">FY2026 interim dividend already paid in H1</t>
  </si>
  <si>
    <t xml:space="preserve">No; H1 2026 dividend paid in cash comprises prior-year final dividend; 2026 interim is modelled in H2</t>
  </si>
  <si>
    <t xml:space="preserve">H1 2026 dividend cash outflow</t>
  </si>
  <si>
    <t xml:space="preserve">Historical cash flow input</t>
  </si>
  <si>
    <t xml:space="preserve">Financing Trigger Definition</t>
  </si>
  <si>
    <t xml:space="preserve">Definition</t>
  </si>
  <si>
    <t xml:space="preserve">Status</t>
  </si>
  <si>
    <t xml:space="preserve">Analyst-defined cash-floor trigger</t>
  </si>
  <si>
    <t xml:space="preserve">Cash below £250m before committed facility draw</t>
  </si>
  <si>
    <t xml:space="preserve">Actual ITV minimum liquidity policy</t>
  </si>
  <si>
    <t xml:space="preserve">Cash + undrawn committed facilities</t>
  </si>
  <si>
    <t xml:space="preserve">Check frequency</t>
  </si>
  <si>
    <t xml:space="preserve">Annual year-end</t>
  </si>
  <si>
    <t xml:space="preserve">Sensitivity and scenario screen</t>
  </si>
  <si>
    <t xml:space="preserve">Transaction-Adjusted Inputs</t>
  </si>
  <si>
    <t xml:space="preserve">Initial cash consideration from Sky</t>
  </si>
  <si>
    <t xml:space="preserve">Strategic case only</t>
  </si>
  <si>
    <t xml:space="preserve">Non-cash consideration</t>
  </si>
  <si>
    <t xml:space="preserve">Maximum; strategic case only</t>
  </si>
  <si>
    <t xml:space="preserve">Gross; over 3–4 years</t>
  </si>
  <si>
    <t xml:space="preserve">Excludes contingent consideration</t>
  </si>
  <si>
    <t xml:space="preserve">Strategic completion timing</t>
  </si>
  <si>
    <t xml:space="preserve">H2 2027</t>
  </si>
  <si>
    <t xml:space="preserve">Subject to regulatory approval</t>
  </si>
  <si>
    <t xml:space="preserve">Post-completion ITV Studios leverage</t>
  </si>
  <si>
    <t xml:space="preserve">~1.5x</t>
  </si>
  <si>
    <t xml:space="preserve">Management target / strategic case</t>
  </si>
  <si>
    <t xml:space="preserve">Historicals</t>
  </si>
  <si>
    <t xml:space="preserve">Reported figures and covenant measures; H1 2026 values are unaudited.</t>
  </si>
  <si>
    <t xml:space="preserve">Line Item</t>
  </si>
  <si>
    <t xml:space="preserve">FY2024A</t>
  </si>
  <si>
    <t xml:space="preserve">FY2025A</t>
  </si>
  <si>
    <t xml:space="preserve">2026H1A</t>
  </si>
  <si>
    <t xml:space="preserve">Net Debt Reconciliation</t>
  </si>
  <si>
    <t xml:space="preserve">Revenue (£m)</t>
  </si>
  <si>
    <t xml:space="preserve">FY2024 calculated</t>
  </si>
  <si>
    <t xml:space="preserve">Adjusted EBITA (£m) — covenant basis</t>
  </si>
  <si>
    <t xml:space="preserve">FY2024 reported</t>
  </si>
  <si>
    <t xml:space="preserve">FY2025 calculated</t>
  </si>
  <si>
    <t xml:space="preserve">Depreciation (£m)</t>
  </si>
  <si>
    <t xml:space="preserve">FY2025 reported</t>
  </si>
  <si>
    <t xml:space="preserve">Right-of-use depreciation (£m)</t>
  </si>
  <si>
    <t xml:space="preserve">FX swap translation difference</t>
  </si>
  <si>
    <t xml:space="preserve">Interest on lease liabilities (£m)</t>
  </si>
  <si>
    <t xml:space="preserve">Model treatment</t>
  </si>
  <si>
    <t xml:space="preserve">Flatline £8m asset adjustment in forecast analytical bridge</t>
  </si>
  <si>
    <t xml:space="preserve">Reported adjusted EBITDA (£m)</t>
  </si>
  <si>
    <t xml:space="preserve">Covenant adjusted EBITDA (£m)</t>
  </si>
  <si>
    <t xml:space="preserve">Adjusted financing costs (£m)</t>
  </si>
  <si>
    <t xml:space="preserve">Cash tax / adjusted tax (£m)</t>
  </si>
  <si>
    <t xml:space="preserve">Capex (£m)</t>
  </si>
  <si>
    <t xml:space="preserve">Dividends / cash distributions (£m)</t>
  </si>
  <si>
    <t xml:space="preserve">Operating cash flow (£m)</t>
  </si>
  <si>
    <t xml:space="preserve">Free cash flow (£m)</t>
  </si>
  <si>
    <t xml:space="preserve">Cash (£m)</t>
  </si>
  <si>
    <t xml:space="preserve">Gross debt (£m)</t>
  </si>
  <si>
    <t xml:space="preserve">Lease liabilities (£m)</t>
  </si>
  <si>
    <t xml:space="preserve">Reported net debt (£m)</t>
  </si>
  <si>
    <t xml:space="preserve">Covenant net debt (£m)</t>
  </si>
  <si>
    <t xml:space="preserve">Reported net debt / adjusted EBITDA</t>
  </si>
  <si>
    <t xml:space="preserve">Covenant leverage</t>
  </si>
  <si>
    <t xml:space="preserve">Forecast — Integrated Operating, Cash Flow &amp; Debt Roll-Forward</t>
  </si>
  <si>
    <t xml:space="preserve">2026H1A is the opening actual; 2026H2E is forecast and FY2026E equals H1A + H2E.</t>
  </si>
  <si>
    <t xml:space="preserve">2024A</t>
  </si>
  <si>
    <t xml:space="preserve">2025A</t>
  </si>
  <si>
    <t xml:space="preserve">2026H2E</t>
  </si>
  <si>
    <t xml:space="preserve">2026FYE</t>
  </si>
  <si>
    <t xml:space="preserve">2027E</t>
  </si>
  <si>
    <t xml:space="preserve">2028E</t>
  </si>
  <si>
    <t xml:space="preserve">P&amp;L (£m)</t>
  </si>
  <si>
    <t xml:space="preserve">Revenue</t>
  </si>
  <si>
    <t xml:space="preserve">Adjusted EBITA</t>
  </si>
  <si>
    <t xml:space="preserve">Model EBITDA</t>
  </si>
  <si>
    <t xml:space="preserve">Lease interest</t>
  </si>
  <si>
    <t xml:space="preserve">Covenant adjusted EBITDA</t>
  </si>
  <si>
    <t xml:space="preserve">Cash Bridge (£m)</t>
  </si>
  <si>
    <t xml:space="preserve">× Profit-to-cash conversion</t>
  </si>
  <si>
    <t xml:space="preserve">Adjusted cash flow</t>
  </si>
  <si>
    <t xml:space="preserve">Cash financing costs</t>
  </si>
  <si>
    <t xml:space="preserve">Model cash tax paid</t>
  </si>
  <si>
    <t xml:space="preserve">Free cash flow</t>
  </si>
  <si>
    <t xml:space="preserve">Capex planning reference (embedded in cash conversion)</t>
  </si>
  <si>
    <t xml:space="preserve">Shareholder Returns (£m)</t>
  </si>
  <si>
    <t xml:space="preserve">Dividends paid</t>
  </si>
  <si>
    <t xml:space="preserve">Share buyback</t>
  </si>
  <si>
    <t xml:space="preserve">Total distributions</t>
  </si>
  <si>
    <t xml:space="preserve">Net Debt Roll-Forward (£m)</t>
  </si>
  <si>
    <t xml:space="preserve">Opening reported net debt</t>
  </si>
  <si>
    <t xml:space="preserve">FCF available for debt reduction</t>
  </si>
  <si>
    <t xml:space="preserve">Closing reported net debt</t>
  </si>
  <si>
    <t xml:space="preserve">Cash balance</t>
  </si>
  <si>
    <t xml:space="preserve">Opening covenant net debt</t>
  </si>
  <si>
    <t xml:space="preserve">Closing covenant net debt</t>
  </si>
  <si>
    <t xml:space="preserve">Model Notes</t>
  </si>
  <si>
    <t xml:space="preserve">Profit-to-cash conversion is applied to adjusted EBITA, consistent with ITV's APM definition; adjusted cash flow is already net of capex.</t>
  </si>
  <si>
    <t xml:space="preserve">2026H2E is derived as FY2026E less H1 2026A actuals to avoid double-counting cash generated and dividends already paid.</t>
  </si>
  <si>
    <t xml:space="preserve">FY2026 buyback is modelled as £100m in H2 for conservatism; the announced programme may span into July 2027.</t>
  </si>
  <si>
    <t xml:space="preserve">Covenant net debt forecasting starts from H1 2026A reported covenant net debt of £574m and moves with cash-flow-driven changes in debt.</t>
  </si>
  <si>
    <t xml:space="preserve">Debt &amp; Liquidity</t>
  </si>
  <si>
    <t xml:space="preserve">Debt schedule, refinancing bridge, liquidity reconciliation and covenant headroom.</t>
  </si>
  <si>
    <t xml:space="preserve">Debt Maturity Profile</t>
  </si>
  <si>
    <t xml:space="preserve">Instrument</t>
  </si>
  <si>
    <t xml:space="preserve">Carrying value (£m)</t>
  </si>
  <si>
    <t xml:space="preserve">Face value (£m)</t>
  </si>
  <si>
    <t xml:space="preserve">Maturity</t>
  </si>
  <si>
    <t xml:space="preserve">Refinancing treatment</t>
  </si>
  <si>
    <t xml:space="preserve">Status at H1 2026</t>
  </si>
  <si>
    <t xml:space="preserve">Source</t>
  </si>
  <si>
    <t xml:space="preserve">€360m Eurobond (remaining of €600m)</t>
  </si>
  <si>
    <t xml:space="preserve">Sep 2026</t>
  </si>
  <si>
    <t xml:space="preserve">Refinance via existing £300m term loan</t>
  </si>
  <si>
    <t xml:space="preserve">Maturity pending</t>
  </si>
  <si>
    <t xml:space="preserve">FY2025 Annual Report</t>
  </si>
  <si>
    <t xml:space="preserve">€500m Eurobond</t>
  </si>
  <si>
    <t xml:space="preserve">Jun 2032</t>
  </si>
  <si>
    <t xml:space="preserve">No action required in forecast</t>
  </si>
  <si>
    <t xml:space="preserve">Outstanding</t>
  </si>
  <si>
    <t xml:space="preserve">£300m term loan</t>
  </si>
  <si>
    <t xml:space="preserve">2029</t>
  </si>
  <si>
    <t xml:space="preserve">Committed facility; available to fund 2026 maturity</t>
  </si>
  <si>
    <t xml:space="preserve">Available from 26 Jun 2026</t>
  </si>
  <si>
    <t xml:space="preserve">Other loans</t>
  </si>
  <si>
    <t xml:space="preserve">Various</t>
  </si>
  <si>
    <t xml:space="preserve">No specific refinancing action</t>
  </si>
  <si>
    <t xml:space="preserve">Total carrying debt</t>
  </si>
  <si>
    <t xml:space="preserve">Liquidity Reconciliation — 30 Jun 2026</t>
  </si>
  <si>
    <t xml:space="preserve">Facility</t>
  </si>
  <si>
    <t xml:space="preserve">Face amount (£m)</t>
  </si>
  <si>
    <t xml:space="preserve">Drawn (£m)</t>
  </si>
  <si>
    <t xml:space="preserve">Undrawn (£m)</t>
  </si>
  <si>
    <t xml:space="preserve">Cash and cash equivalents</t>
  </si>
  <si>
    <t xml:space="preserve">n/a</t>
  </si>
  <si>
    <t xml:space="preserve">H1 2026 balance sheet</t>
  </si>
  <si>
    <t xml:space="preserve">Cash</t>
  </si>
  <si>
    <t xml:space="preserve">£500m multilateral RCF</t>
  </si>
  <si>
    <t xml:space="preserve">Jan 2029</t>
  </si>
  <si>
    <t xml:space="preserve">H1 2026 Note 4.1</t>
  </si>
  <si>
    <t xml:space="preserve">Committed</t>
  </si>
  <si>
    <t xml:space="preserve">£100m bilateral RCF</t>
  </si>
  <si>
    <t xml:space="preserve">Dec 2028</t>
  </si>
  <si>
    <t xml:space="preserve">£200m bilateral loan</t>
  </si>
  <si>
    <t xml:space="preserve">Dec 2030</t>
  </si>
  <si>
    <t xml:space="preserve">Total undrawn committed facilities</t>
  </si>
  <si>
    <t xml:space="preserve">Total liquidity</t>
  </si>
  <si>
    <t xml:space="preserve">Liquidity audit check</t>
  </si>
  <si>
    <t xml:space="preserve">Reported (£m)</t>
  </si>
  <si>
    <t xml:space="preserve">Model (£m)</t>
  </si>
  <si>
    <t xml:space="preserve">Difference (£m)</t>
  </si>
  <si>
    <t xml:space="preserve">Covenant Metrics</t>
  </si>
  <si>
    <t xml:space="preserve">H1 2026A</t>
  </si>
  <si>
    <t xml:space="preserve">FY2026E</t>
  </si>
  <si>
    <t xml:space="preserve">FY2027E</t>
  </si>
  <si>
    <t xml:space="preserve">FY2028E</t>
  </si>
  <si>
    <t xml:space="preserve">Reported net debt / adjusted EBITDA (ITV-reported basis)</t>
  </si>
  <si>
    <t xml:space="preserve">Covenant net debt / covenant adjusted EBITDA</t>
  </si>
  <si>
    <t xml:space="preserve">Model interest cover</t>
  </si>
  <si>
    <t xml:space="preserve">Refinancing Bridge</t>
  </si>
  <si>
    <t xml:space="preserve">Step</t>
  </si>
  <si>
    <t xml:space="preserve">Amount (£m)</t>
  </si>
  <si>
    <t xml:space="preserve">2026 bond maturity</t>
  </si>
  <si>
    <t xml:space="preserve">€360m face value</t>
  </si>
  <si>
    <t xml:space="preserve">Committed term loan</t>
  </si>
  <si>
    <t xml:space="preserve">Existing facility; available from 26 Jun 2026</t>
  </si>
  <si>
    <t xml:space="preserve">Residual amount covered by existing liquidity</t>
  </si>
  <si>
    <t xml:space="preserve">€360m maturity less £300m term loan; no incremental financing assumed</t>
  </si>
  <si>
    <t xml:space="preserve">New external equity assumed</t>
  </si>
  <si>
    <t xml:space="preserve">No equity raise in standalone base</t>
  </si>
  <si>
    <t xml:space="preserve">New debt issuance assumed</t>
  </si>
  <si>
    <t xml:space="preserve">No incremental debt issuance beyond committed term loan</t>
  </si>
  <si>
    <t xml:space="preserve">Refinancing conclusion</t>
  </si>
  <si>
    <t xml:space="preserve">The September 2026 €360m maturity is addressed through the existing committed £300m term-loan facility, with the remaining amount covered from ITV's existing liquidity resources.</t>
  </si>
  <si>
    <t xml:space="preserve">Financing Options Analysis</t>
  </si>
  <si>
    <t xml:space="preserve">Side-by-side financing assessment for the standalone business.</t>
  </si>
  <si>
    <t xml:space="preserve">Options Matrix</t>
  </si>
  <si>
    <t xml:space="preserve">Option</t>
  </si>
  <si>
    <t xml:space="preserve">Funding effect</t>
  </si>
  <si>
    <t xml:space="preserve">Standalone base treatment</t>
  </si>
  <si>
    <t xml:space="preserve">Key benefit</t>
  </si>
  <si>
    <t xml:space="preserve">Key limitation</t>
  </si>
  <si>
    <t xml:space="preserve">Assessment</t>
  </si>
  <si>
    <t xml:space="preserve">1. Refinance / term-out</t>
  </si>
  <si>
    <t xml:space="preserve">Debt replacement</t>
  </si>
  <si>
    <t xml:space="preserve">Use existing £300m term loan to address Sep-2026 maturity</t>
  </si>
  <si>
    <t xml:space="preserve">Avoids new equity dilution; committed funding already in place</t>
  </si>
  <si>
    <t xml:space="preserve">Term loan capacity is finite</t>
  </si>
  <si>
    <t xml:space="preserve">Near-term maturity already addressed</t>
  </si>
  <si>
    <t xml:space="preserve">2. Equity issuance</t>
  </si>
  <si>
    <t xml:space="preserve">Raises permanent capital</t>
  </si>
  <si>
    <t xml:space="preserve">Illustrative £300m raise at 70p</t>
  </si>
  <si>
    <t xml:space="preserve">Adds cash and reduces leverage</t>
  </si>
  <si>
    <t xml:space="preserve">Shareholder dilution; unnecessary in base case</t>
  </si>
  <si>
    <t xml:space="preserve">Not justified under standalone base</t>
  </si>
  <si>
    <t xml:space="preserve">3. Dividend reduction</t>
  </si>
  <si>
    <t xml:space="preserve">Retains cash</t>
  </si>
  <si>
    <t xml:space="preserve">2.5p stress lever from FY2027</t>
  </si>
  <si>
    <t xml:space="preserve">Fast discretionary cash retention</t>
  </si>
  <si>
    <t xml:space="preserve">Reduces shareholder distributions</t>
  </si>
  <si>
    <t xml:space="preserve">Secondary liquidity lever under stress</t>
  </si>
  <si>
    <t xml:space="preserve">4. Asset disposal</t>
  </si>
  <si>
    <t xml:space="preserve">Raises cash / simplifies group</t>
  </si>
  <si>
    <t xml:space="preserve">Sky M&amp;E transaction shown as separate case</t>
  </si>
  <si>
    <t xml:space="preserve">Large strategic proceeds if completed</t>
  </si>
  <si>
    <t xml:space="preserve">Regulatory/timing and separation considerations</t>
  </si>
  <si>
    <t xml:space="preserve">Strategic overlay; not in standalone base</t>
  </si>
  <si>
    <t xml:space="preserve">5. No incremental financing</t>
  </si>
  <si>
    <t xml:space="preserve">Preserves current structure</t>
  </si>
  <si>
    <t xml:space="preserve">Primary standalone case</t>
  </si>
  <si>
    <t xml:space="preserve">Avoids unnecessary issuance and preserves optionality</t>
  </si>
  <si>
    <t xml:space="preserve">Leaves business exposed to operating downside</t>
  </si>
  <si>
    <t xml:space="preserve">Base case remains internally funded</t>
  </si>
  <si>
    <t xml:space="preserve">Equity Illustration</t>
  </si>
  <si>
    <t xml:space="preserve">Formula / note</t>
  </si>
  <si>
    <t xml:space="preserve">Existing shares (m)</t>
  </si>
  <si>
    <t xml:space="preserve">Hardcoded assumption</t>
  </si>
  <si>
    <t xml:space="preserve">Issue price (£)</t>
  </si>
  <si>
    <t xml:space="preserve">Illustrative 70p</t>
  </si>
  <si>
    <t xml:space="preserve">Gross proceeds (£m)</t>
  </si>
  <si>
    <t xml:space="preserve">Illustrative raise</t>
  </si>
  <si>
    <t xml:space="preserve">New shares (m)</t>
  </si>
  <si>
    <t xml:space="preserve">Gross proceeds / issue price</t>
  </si>
  <si>
    <t xml:space="preserve">Post-issue shares (m)</t>
  </si>
  <si>
    <t xml:space="preserve">Existing + new shares</t>
  </si>
  <si>
    <t xml:space="preserve">Approx. dilution</t>
  </si>
  <si>
    <t xml:space="preserve">New shares / post-issue shares</t>
  </si>
  <si>
    <t xml:space="preserve">Equity conclusion</t>
  </si>
  <si>
    <t xml:space="preserve">A £300m illustrative equity raise at 70p would create approximately 10.3% post-issue dilution. Under the standalone base case, the raise is not justified given existing liquidity and committed financing.</t>
  </si>
  <si>
    <t xml:space="preserve">Dividend Reduction Lever</t>
  </si>
  <si>
    <t xml:space="preserve">Current</t>
  </si>
  <si>
    <t xml:space="preserve">Stress case</t>
  </si>
  <si>
    <t xml:space="preserve">DPS (pence)</t>
  </si>
  <si>
    <t xml:space="preserve">Shares outstanding (m)</t>
  </si>
  <si>
    <t xml:space="preserve">Annual dividend (£m)</t>
  </si>
  <si>
    <t xml:space="preserve">Cash retained (£m)</t>
  </si>
  <si>
    <t xml:space="preserve">Sky Transaction-Adjusted Case</t>
  </si>
  <si>
    <t xml:space="preserve">Assumption</t>
  </si>
  <si>
    <t xml:space="preserve">Initial cash consideration (£m)</t>
  </si>
  <si>
    <t xml:space="preserve">Love Productions contribution (£m)</t>
  </si>
  <si>
    <t xml:space="preserve">Contingent consideration (£m)</t>
  </si>
  <si>
    <t xml:space="preserve">Maximum / contingent</t>
  </si>
  <si>
    <t xml:space="preserve">Transaction &amp; separation costs (£m)</t>
  </si>
  <si>
    <t xml:space="preserve">Over approximately 3–4 years</t>
  </si>
  <si>
    <t xml:space="preserve">Expected net cash return (£m)</t>
  </si>
  <si>
    <t xml:space="preserve">Completion assumption</t>
  </si>
  <si>
    <t xml:space="preserve">Transaction-adjusted case treatment</t>
  </si>
  <si>
    <t xml:space="preserve">Sky transaction excluded from standalone base forecast; shown separately as a strategic overlay because completion timing remains subject to regulatory approval.</t>
  </si>
  <si>
    <t xml:space="preserve">Scenarios</t>
  </si>
  <si>
    <t xml:space="preserve">Base, Downside, Upside and Liquidity Stress. 2026 starts from H1 2026A.</t>
  </si>
  <si>
    <t xml:space="preserve">Growth</t>
  </si>
  <si>
    <t xml:space="preserve">EBITA margin</t>
  </si>
  <si>
    <t xml:space="preserve">Minimum Cash</t>
  </si>
  <si>
    <t xml:space="preserve">Undrawn Facilities Available</t>
  </si>
  <si>
    <t xml:space="preserve">Standalone operating case</t>
  </si>
  <si>
    <t xml:space="preserve">Lower growth, margin and cash conversion; dividend reduced from FY2027</t>
  </si>
  <si>
    <t xml:space="preserve">Higher growth, margin and cash conversion</t>
  </si>
  <si>
    <t xml:space="preserve">Severe operating/cash conversion stress; dividend maintained</t>
  </si>
  <si>
    <t xml:space="preserve">Note</t>
  </si>
  <si>
    <t xml:space="preserve">Cash floor is an analyst-defined funding-action trigger; ITV policy is cash + undrawn committed facilities.</t>
  </si>
  <si>
    <t xml:space="preserve">Scenario Inputs</t>
  </si>
  <si>
    <t xml:space="preserve">Variable</t>
  </si>
  <si>
    <t xml:space="preserve">Units</t>
  </si>
  <si>
    <t xml:space="preserve">Finance costs</t>
  </si>
  <si>
    <t xml:space="preserve">50</t>
  </si>
  <si>
    <t xml:space="preserve">35</t>
  </si>
  <si>
    <t xml:space="preserve">55</t>
  </si>
  <si>
    <t xml:space="preserve">Base linked; other scenarios hardcoded</t>
  </si>
  <si>
    <t xml:space="preserve">0.70</t>
  </si>
  <si>
    <t xml:space="preserve">0.85</t>
  </si>
  <si>
    <t xml:space="preserve">0.60</t>
  </si>
  <si>
    <t xml:space="preserve">%</t>
  </si>
  <si>
    <t xml:space="preserve">Dividend from FY2027</t>
  </si>
  <si>
    <t xml:space="preserve">0.025</t>
  </si>
  <si>
    <t xml:space="preserve">0.050</t>
  </si>
  <si>
    <t xml:space="preserve">£/share</t>
  </si>
  <si>
    <t xml:space="preserve">Downside cuts to 2.5p from FY2027</t>
  </si>
  <si>
    <t xml:space="preserve">100</t>
  </si>
  <si>
    <t xml:space="preserve">Scenario Calculation Engine (formula-driven)</t>
  </si>
  <si>
    <t xml:space="preserve">Line</t>
  </si>
  <si>
    <t xml:space="preserve">FY2026E revenue</t>
  </si>
  <si>
    <t xml:space="preserve">FY2026E EBITA</t>
  </si>
  <si>
    <t xml:space="preserve">FY2026E Model EBITDA</t>
  </si>
  <si>
    <t xml:space="preserve">FY2026E adjusted cash flow</t>
  </si>
  <si>
    <t xml:space="preserve">FY2026E cash financing costs</t>
  </si>
  <si>
    <t xml:space="preserve">FY2026E cash tax</t>
  </si>
  <si>
    <t xml:space="preserve">FY2026E pension</t>
  </si>
  <si>
    <t xml:space="preserve">FY2026E full-year FCF</t>
  </si>
  <si>
    <t xml:space="preserve">H1 2026A FCF</t>
  </si>
  <si>
    <t xml:space="preserve">FY2026E H2 FCF</t>
  </si>
  <si>
    <t xml:space="preserve">FY2026E full-year distributions</t>
  </si>
  <si>
    <t xml:space="preserve">H1 2026A distributions</t>
  </si>
  <si>
    <t xml:space="preserve">FY2026E H2 distributions</t>
  </si>
  <si>
    <t xml:space="preserve">FY2026E closing reported net debt</t>
  </si>
  <si>
    <t xml:space="preserve">FY2026E closing cash</t>
  </si>
  <si>
    <t xml:space="preserve">FY2027E revenue</t>
  </si>
  <si>
    <t xml:space="preserve">FY2027E EBITA</t>
  </si>
  <si>
    <t xml:space="preserve">FY2027E Model EBITDA</t>
  </si>
  <si>
    <t xml:space="preserve">FY2027E adjusted cash flow</t>
  </si>
  <si>
    <t xml:space="preserve">FY2027E cash financing costs</t>
  </si>
  <si>
    <t xml:space="preserve">FY2027E cash tax</t>
  </si>
  <si>
    <t xml:space="preserve">FY2027E pension</t>
  </si>
  <si>
    <t xml:space="preserve">FY2027E FCF</t>
  </si>
  <si>
    <t xml:space="preserve">FY2027E distributions</t>
  </si>
  <si>
    <t xml:space="preserve">FY2027E closing reported net debt</t>
  </si>
  <si>
    <t xml:space="preserve">FY2027E closing cash</t>
  </si>
  <si>
    <t xml:space="preserve">FY2028E revenue</t>
  </si>
  <si>
    <t xml:space="preserve">FY2028E EBITA</t>
  </si>
  <si>
    <t xml:space="preserve">FY2028E Model EBITDA</t>
  </si>
  <si>
    <t xml:space="preserve">FY2028E adjusted cash flow</t>
  </si>
  <si>
    <t xml:space="preserve">FY2028E cash financing costs</t>
  </si>
  <si>
    <t xml:space="preserve">FY2028E cash tax</t>
  </si>
  <si>
    <t xml:space="preserve">FY2028E pension</t>
  </si>
  <si>
    <t xml:space="preserve">FY2028E FCF</t>
  </si>
  <si>
    <t xml:space="preserve">FY2028E distributions</t>
  </si>
  <si>
    <t xml:space="preserve">FY2028E closing reported net debt</t>
  </si>
  <si>
    <t xml:space="preserve">FY2028E closing cash</t>
  </si>
  <si>
    <t xml:space="preserve">Minimum cash</t>
  </si>
  <si>
    <t xml:space="preserve">Cash-floor trigger breached?</t>
  </si>
  <si>
    <t xml:space="preserve">Yes/No</t>
  </si>
  <si>
    <t xml:space="preserve">FY2028E covenant adjusted EBITDA</t>
  </si>
  <si>
    <t xml:space="preserve">FY2028E covenant net debt</t>
  </si>
  <si>
    <t xml:space="preserve">x</t>
  </si>
  <si>
    <t xml:space="preserve">Base Reconciliation Gate</t>
  </si>
  <si>
    <t xml:space="preserve">Check</t>
  </si>
  <si>
    <t xml:space="preserve">Difference</t>
  </si>
  <si>
    <t xml:space="preserve">FY2026E FCF</t>
  </si>
  <si>
    <t xml:space="preserve">FY2026E closing net debt</t>
  </si>
  <si>
    <t xml:space="preserve">FY2028E closing net debt</t>
  </si>
  <si>
    <t xml:space="preserve">Overall</t>
  </si>
  <si>
    <t xml:space="preserve">Publication QA Gate</t>
  </si>
  <si>
    <t xml:space="preserve">Base reconciliation status</t>
  </si>
  <si>
    <t xml:space="preserve">Sensitivity — EBITA Margin vs Cash-Floor Funding Trigger</t>
  </si>
  <si>
    <t xml:space="preserve">Trigger is analyst-defined cash &lt; £250m before committed facility draw. ITV's actual policy is cash + undrawn committed facilities.</t>
  </si>
  <si>
    <t xml:space="preserve">Trigger Definition</t>
  </si>
  <si>
    <t xml:space="preserve">Cash-floor funding action trigger</t>
  </si>
  <si>
    <t xml:space="preserve">Annual / year-end</t>
  </si>
  <si>
    <t xml:space="preserve">Base growth / financing / conversion</t>
  </si>
  <si>
    <t xml:space="preserve">+1.0% / £40m / 80%</t>
  </si>
  <si>
    <t xml:space="preserve">Margin Sensitivity</t>
  </si>
  <si>
    <t xml:space="preserve">EBITA Margin</t>
  </si>
  <si>
    <t xml:space="preserve">Cumulative FCF FY2026-28 (£m)</t>
  </si>
  <si>
    <t xml:space="preserve">FY2026E Cash (£m)</t>
  </si>
  <si>
    <t xml:space="preserve">FY2027E Cash (£m)</t>
  </si>
  <si>
    <t xml:space="preserve">FY2028E Cash (£m)</t>
  </si>
  <si>
    <t xml:space="preserve">Cash Floor Breached?</t>
  </si>
  <si>
    <t xml:space="preserve">FY2026E FCF (£m)</t>
  </si>
  <si>
    <t xml:space="preserve">FY2027E FCF (£m)</t>
  </si>
  <si>
    <t xml:space="preserve">FY2028E FCF (£m)</t>
  </si>
  <si>
    <t xml:space="preserve">Base row FY2028E cash less Forecast (must be 0)</t>
  </si>
  <si>
    <t xml:space="preserve">Approximate Margin Trigger</t>
  </si>
  <si>
    <t xml:space="preserve">Margin where FY2028E cash reaches £250m</t>
  </si>
  <si>
    <t xml:space="preserve">Interpretation</t>
  </si>
  <si>
    <t xml:space="preserve">The sensitivity identifies the EBITA margin at which the model-defined £250m cash floor is breached. This is an analytical funding-action threshold rather than a forecast of management behaviour.</t>
  </si>
  <si>
    <t xml:space="preserve">Year</t>
  </si>
  <si>
    <t xml:space="preserve">NetDebt_Base</t>
  </si>
  <si>
    <t xml:space="preserve">NetDebt_Downside</t>
  </si>
  <si>
    <t xml:space="preserve">NetDebt_Upside</t>
  </si>
  <si>
    <t xml:space="preserve">CovenantLeverage_Base</t>
  </si>
  <si>
    <t xml:space="preserve">Cash_Base</t>
  </si>
  <si>
    <t xml:space="preserve">CovenantLimit</t>
  </si>
  <si>
    <t xml:space="preserve">2026E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</si>
</sst>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[RED]\(#,##0\);\-"/>
    <numFmt numFmtId="166" formatCode="0.0\x;[RED]\(0.0&quot;x)&quot;;\-"/>
    <numFmt numFmtId="167" formatCode="0.0%"/>
    <numFmt numFmtId="168" formatCode="0.0%;[RED]\(0.0%\);\-"/>
    <numFmt numFmtId="169" formatCode="\£0.00;[RED]&quot;(£&quot;0.00\);\-"/>
    <numFmt numFmtId="170" formatCode="\£#,##0;[RED]&quot;(£&quot;#,##0\);\-"/>
    <numFmt numFmtId="171" formatCode="0.0\x"/>
    <numFmt numFmtId="172" formatCode="#,##0.0;[RED]\(#,##0.0\);\-"/>
    <numFmt numFmtId="173" formatCode="\£0.00"/>
    <numFmt numFmtId="174" formatCode="0.0"/>
    <numFmt numFmtId="175" formatCode="#,##0"/>
    <numFmt numFmtId="176" formatCode="0%"/>
    <numFmt numFmtId="177" formatCode="0.00\x"/>
    <numFmt numFmtId="178" formatCode="0.00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3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1F4E78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4E78"/>
      <name val="Calibri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4C6E7"/>
      </left>
      <right/>
      <top style="thin">
        <color rgb="FFB4C6E7"/>
      </top>
      <bottom style="thin">
        <color rgb="FFB4C6E7"/>
      </bottom>
      <diagonal/>
    </border>
    <border diagonalUp="false" diagonalDown="false">
      <left/>
      <right/>
      <top style="thin">
        <color rgb="FFB4C6E7"/>
      </top>
      <bottom style="thin">
        <color rgb="FFB4C6E7"/>
      </bottom>
      <diagonal/>
    </border>
    <border diagonalUp="false" diagonalDown="false">
      <left/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1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1" fontId="1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2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4" fontId="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5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6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7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7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8" fontId="18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8" fontId="18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B91C1C"/>
      </font>
      <fill>
        <patternFill>
          <bgColor rgb="FFFECACA"/>
        </patternFill>
      </fill>
    </dxf>
    <dxf>
      <font>
        <color rgb="FF166534"/>
      </font>
      <fill>
        <patternFill>
          <bgColor rgb="FFDCF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6534"/>
      <rgbColor rgb="FFBFBFBF"/>
      <rgbColor rgb="FF808080"/>
      <rgbColor rgb="FF9999FF"/>
      <rgbColor rgb="FF993366"/>
      <rgbColor rgb="FFFFF2CC"/>
      <rgbColor rgb="FFDCFCE7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CAC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B91C1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ITV Finance Model">
      <a:dk1>
        <a:srgbClr val="000000"/>
      </a:dk1>
      <a:lt1>
        <a:srgbClr val="ffffff"/>
      </a:lt1>
      <a:dk2>
        <a:srgbClr val="0e2841"/>
      </a:dk2>
      <a:lt2>
        <a:srgbClr val="f2f2f2"/>
      </a:lt2>
      <a:accent1>
        <a:srgbClr val="17365d"/>
      </a:accent1>
      <a:accent2>
        <a:srgbClr val="4472c4"/>
      </a:accent2>
      <a:accent3>
        <a:srgbClr val="70ad47"/>
      </a:accent3>
      <a:accent4>
        <a:srgbClr val="c55a11"/>
      </a:accent4>
      <a:accent5>
        <a:srgbClr val="a5a5a5"/>
      </a:accent5>
      <a:accent6>
        <a:srgbClr val="ffc000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8"/>
    <col collapsed="false" customWidth="true" hidden="false" outlineLevel="0" max="6" min="3" style="1" width="20"/>
    <col collapsed="false" customWidth="true" hidden="false" outlineLevel="0" max="7" min="7" style="1" width="22"/>
    <col collapsed="false" customWidth="true" hidden="false" outlineLevel="0" max="8" min="8" style="1" width="3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3"/>
      <c r="J1" s="3"/>
      <c r="K1" s="4"/>
      <c r="L1" s="4"/>
      <c r="M1" s="4"/>
      <c r="N1" s="4"/>
    </row>
    <row r="2" customFormat="false" ht="30" hidden="false" customHeight="true" outlineLevel="0" collapsed="false">
      <c r="A2" s="5" t="s">
        <v>1</v>
      </c>
      <c r="B2" s="5"/>
      <c r="C2" s="5"/>
      <c r="D2" s="5"/>
      <c r="E2" s="5"/>
      <c r="F2" s="5"/>
      <c r="G2" s="5"/>
      <c r="H2" s="5"/>
      <c r="I2" s="3"/>
      <c r="J2" s="3"/>
      <c r="K2" s="4"/>
      <c r="L2" s="4"/>
      <c r="M2" s="4"/>
      <c r="N2" s="4"/>
    </row>
    <row r="3" customFormat="false" ht="15" hidden="false" customHeight="true" outlineLevel="0" collapsed="false">
      <c r="A3" s="6"/>
      <c r="B3" s="3"/>
      <c r="C3" s="3"/>
      <c r="D3" s="3"/>
      <c r="E3" s="3"/>
      <c r="F3" s="3"/>
      <c r="G3" s="3"/>
      <c r="H3" s="3"/>
      <c r="I3" s="3"/>
      <c r="J3" s="3"/>
      <c r="K3" s="4"/>
      <c r="L3" s="4"/>
      <c r="M3" s="4"/>
      <c r="N3" s="4"/>
    </row>
    <row r="4" customFormat="false" ht="18.75" hidden="false" customHeight="true" outlineLevel="0" collapsed="false">
      <c r="A4" s="7" t="s">
        <v>2</v>
      </c>
      <c r="B4" s="7"/>
      <c r="C4" s="7"/>
      <c r="D4" s="7"/>
      <c r="E4" s="7"/>
      <c r="F4" s="7"/>
      <c r="G4" s="7"/>
      <c r="H4" s="7"/>
      <c r="I4" s="3"/>
      <c r="J4" s="3"/>
      <c r="K4" s="4"/>
      <c r="L4" s="4"/>
      <c r="M4" s="4"/>
      <c r="N4" s="4"/>
    </row>
    <row r="5" customFormat="false" ht="15" hidden="false" customHeight="true" outlineLevel="0" collapsed="false">
      <c r="A5" s="8" t="s">
        <v>3</v>
      </c>
      <c r="B5" s="9" t="s">
        <v>4</v>
      </c>
      <c r="C5" s="3"/>
      <c r="D5" s="3"/>
      <c r="E5" s="3"/>
      <c r="F5" s="3"/>
      <c r="G5" s="3"/>
      <c r="H5" s="3"/>
      <c r="I5" s="3"/>
      <c r="J5" s="3"/>
      <c r="K5" s="4"/>
      <c r="L5" s="4"/>
      <c r="M5" s="4"/>
      <c r="N5" s="4"/>
    </row>
    <row r="6" customFormat="false" ht="15" hidden="false" customHeight="true" outlineLevel="0" collapsed="false">
      <c r="A6" s="10" t="s">
        <v>5</v>
      </c>
      <c r="B6" s="11" t="n">
        <f aca="false">Forecast!F35</f>
        <v>612.9253784</v>
      </c>
      <c r="C6" s="3"/>
      <c r="D6" s="3"/>
      <c r="E6" s="3"/>
      <c r="F6" s="3"/>
      <c r="G6" s="3"/>
      <c r="H6" s="3"/>
      <c r="I6" s="3"/>
      <c r="J6" s="3"/>
      <c r="K6" s="4"/>
      <c r="L6" s="4"/>
      <c r="M6" s="4"/>
      <c r="N6" s="4"/>
    </row>
    <row r="7" customFormat="false" ht="15" hidden="false" customHeight="true" outlineLevel="0" collapsed="false">
      <c r="A7" s="10" t="s">
        <v>6</v>
      </c>
      <c r="B7" s="11" t="n">
        <f aca="false">Forecast!H35</f>
        <v>494.17732908984</v>
      </c>
      <c r="C7" s="3"/>
      <c r="D7" s="3"/>
      <c r="E7" s="3"/>
      <c r="F7" s="3"/>
      <c r="G7" s="3"/>
      <c r="H7" s="3"/>
      <c r="I7" s="3"/>
      <c r="J7" s="3"/>
      <c r="K7" s="4"/>
      <c r="L7" s="4"/>
      <c r="M7" s="4"/>
      <c r="N7" s="4"/>
    </row>
    <row r="8" customFormat="false" ht="15" hidden="false" customHeight="true" outlineLevel="0" collapsed="false">
      <c r="A8" s="10" t="s">
        <v>7</v>
      </c>
      <c r="B8" s="12" t="n">
        <f aca="false">Forecast!H39</f>
        <v>0.727782762204573</v>
      </c>
      <c r="C8" s="3"/>
      <c r="D8" s="3"/>
      <c r="E8" s="3"/>
      <c r="F8" s="3"/>
      <c r="G8" s="3"/>
      <c r="H8" s="3"/>
      <c r="I8" s="3"/>
      <c r="J8" s="3"/>
      <c r="K8" s="4"/>
      <c r="L8" s="4"/>
      <c r="M8" s="4"/>
      <c r="N8" s="4"/>
    </row>
    <row r="9" customFormat="false" ht="15" hidden="false" customHeight="true" outlineLevel="0" collapsed="false">
      <c r="A9" s="10" t="s">
        <v>8</v>
      </c>
      <c r="B9" s="11" t="n">
        <f aca="false">Forecast!H36</f>
        <v>421.82267091016</v>
      </c>
      <c r="C9" s="3"/>
      <c r="D9" s="3"/>
      <c r="E9" s="3"/>
      <c r="F9" s="3"/>
      <c r="G9" s="3"/>
      <c r="H9" s="3"/>
      <c r="I9" s="3"/>
      <c r="J9" s="3"/>
      <c r="K9" s="4"/>
      <c r="L9" s="4"/>
      <c r="M9" s="4"/>
      <c r="N9" s="4"/>
    </row>
    <row r="10" customFormat="false" ht="15" hidden="false" customHeight="true" outlineLevel="0" collapsed="false">
      <c r="A10" s="10" t="s">
        <v>9</v>
      </c>
      <c r="B10" s="13" t="s">
        <v>10</v>
      </c>
      <c r="C10" s="3"/>
      <c r="D10" s="3"/>
      <c r="E10" s="3"/>
      <c r="F10" s="3"/>
      <c r="G10" s="3"/>
      <c r="H10" s="3"/>
      <c r="I10" s="3"/>
      <c r="J10" s="3"/>
      <c r="K10" s="4"/>
      <c r="L10" s="4"/>
      <c r="M10" s="4"/>
      <c r="N10" s="4"/>
    </row>
    <row r="11" customFormat="false" ht="15" hidden="false" customHeight="true" outlineLevel="0" collapsed="false">
      <c r="A11" s="10" t="s">
        <v>11</v>
      </c>
      <c r="B11" s="13" t="s">
        <v>12</v>
      </c>
      <c r="C11" s="3"/>
      <c r="D11" s="3"/>
      <c r="E11" s="3"/>
      <c r="F11" s="3"/>
      <c r="G11" s="3"/>
      <c r="H11" s="3"/>
      <c r="I11" s="3"/>
      <c r="J11" s="3"/>
      <c r="K11" s="4"/>
      <c r="L11" s="4"/>
      <c r="M11" s="4"/>
      <c r="N11" s="4"/>
    </row>
    <row r="12" customFormat="false" ht="15" hidden="false" customHeight="true" outlineLevel="0" collapsed="false">
      <c r="A12" s="10" t="s">
        <v>13</v>
      </c>
      <c r="B12" s="14" t="n">
        <f aca="false">Sensitivity!B19</f>
        <v>0.121828602165787</v>
      </c>
      <c r="C12" s="3"/>
      <c r="D12" s="3"/>
      <c r="E12" s="3"/>
      <c r="F12" s="3"/>
      <c r="G12" s="3"/>
      <c r="H12" s="3"/>
      <c r="I12" s="3"/>
      <c r="J12" s="3"/>
      <c r="K12" s="4"/>
      <c r="L12" s="4"/>
      <c r="M12" s="4"/>
      <c r="N12" s="4"/>
    </row>
    <row r="13" customFormat="false" ht="18.75" hidden="false" customHeight="true" outlineLevel="0" collapsed="false">
      <c r="A13" s="7" t="s">
        <v>14</v>
      </c>
      <c r="B13" s="7"/>
      <c r="C13" s="7"/>
      <c r="D13" s="7"/>
      <c r="E13" s="7"/>
      <c r="F13" s="7"/>
      <c r="G13" s="7"/>
      <c r="H13" s="7"/>
      <c r="I13" s="3"/>
      <c r="J13" s="3"/>
      <c r="K13" s="4"/>
      <c r="L13" s="4"/>
      <c r="M13" s="4"/>
      <c r="N13" s="4"/>
    </row>
    <row r="14" customFormat="false" ht="30" hidden="false" customHeight="true" outlineLevel="0" collapsed="false">
      <c r="A14" s="15" t="s">
        <v>15</v>
      </c>
      <c r="B14" s="16" t="s">
        <v>16</v>
      </c>
      <c r="C14" s="16"/>
      <c r="D14" s="16"/>
      <c r="E14" s="16"/>
      <c r="F14" s="16"/>
      <c r="G14" s="16"/>
      <c r="H14" s="16"/>
      <c r="I14" s="3"/>
      <c r="J14" s="3"/>
      <c r="K14" s="4"/>
      <c r="L14" s="4"/>
      <c r="M14" s="4"/>
      <c r="N14" s="4"/>
    </row>
    <row r="15" customFormat="false" ht="30" hidden="false" customHeight="true" outlineLevel="0" collapsed="false">
      <c r="A15" s="15" t="s">
        <v>17</v>
      </c>
      <c r="B15" s="16" t="s">
        <v>18</v>
      </c>
      <c r="C15" s="16"/>
      <c r="D15" s="16"/>
      <c r="E15" s="16"/>
      <c r="F15" s="16"/>
      <c r="G15" s="16"/>
      <c r="H15" s="16"/>
      <c r="I15" s="3"/>
      <c r="J15" s="3"/>
      <c r="K15" s="4"/>
      <c r="L15" s="4"/>
      <c r="M15" s="4"/>
      <c r="N15" s="4"/>
    </row>
    <row r="16" customFormat="false" ht="30" hidden="false" customHeight="true" outlineLevel="0" collapsed="false">
      <c r="A16" s="15" t="s">
        <v>19</v>
      </c>
      <c r="B16" s="16" t="s">
        <v>20</v>
      </c>
      <c r="C16" s="16"/>
      <c r="D16" s="16"/>
      <c r="E16" s="16"/>
      <c r="F16" s="16"/>
      <c r="G16" s="16"/>
      <c r="H16" s="16"/>
      <c r="I16" s="3"/>
      <c r="J16" s="3"/>
      <c r="K16" s="4"/>
      <c r="L16" s="4"/>
      <c r="M16" s="4"/>
      <c r="N16" s="4"/>
    </row>
    <row r="17" customFormat="false" ht="30" hidden="false" customHeight="true" outlineLevel="0" collapsed="false">
      <c r="A17" s="15" t="s">
        <v>21</v>
      </c>
      <c r="B17" s="16" t="s">
        <v>22</v>
      </c>
      <c r="C17" s="16"/>
      <c r="D17" s="16"/>
      <c r="E17" s="16"/>
      <c r="F17" s="16"/>
      <c r="G17" s="16"/>
      <c r="H17" s="16"/>
      <c r="I17" s="3"/>
      <c r="J17" s="3"/>
      <c r="K17" s="4"/>
      <c r="L17" s="4"/>
      <c r="M17" s="4"/>
      <c r="N17" s="4"/>
    </row>
    <row r="18" customFormat="false" ht="30" hidden="false" customHeight="true" outlineLevel="0" collapsed="false">
      <c r="A18" s="15" t="s">
        <v>23</v>
      </c>
      <c r="B18" s="16" t="s">
        <v>24</v>
      </c>
      <c r="C18" s="16"/>
      <c r="D18" s="16"/>
      <c r="E18" s="16"/>
      <c r="F18" s="16"/>
      <c r="G18" s="16"/>
      <c r="H18" s="16"/>
      <c r="I18" s="3"/>
      <c r="J18" s="3"/>
      <c r="K18" s="4"/>
      <c r="L18" s="4"/>
      <c r="M18" s="4"/>
      <c r="N18" s="4"/>
    </row>
    <row r="19" customFormat="false" ht="30" hidden="false" customHeight="true" outlineLevel="0" collapsed="false">
      <c r="A19" s="15" t="s">
        <v>25</v>
      </c>
      <c r="B19" s="16" t="s">
        <v>26</v>
      </c>
      <c r="C19" s="16"/>
      <c r="D19" s="16"/>
      <c r="E19" s="16"/>
      <c r="F19" s="16"/>
      <c r="G19" s="16"/>
      <c r="H19" s="16"/>
      <c r="I19" s="3"/>
      <c r="J19" s="3"/>
      <c r="K19" s="4"/>
      <c r="L19" s="4"/>
      <c r="M19" s="4"/>
      <c r="N19" s="4"/>
    </row>
    <row r="20" customFormat="false" ht="15" hidden="false" customHeight="true" outlineLevel="0" collapsed="false">
      <c r="A20" s="6"/>
      <c r="B20" s="3"/>
      <c r="C20" s="3"/>
      <c r="D20" s="3"/>
      <c r="E20" s="3"/>
      <c r="F20" s="3"/>
      <c r="G20" s="3"/>
      <c r="H20" s="3"/>
      <c r="I20" s="3"/>
      <c r="J20" s="3"/>
      <c r="K20" s="4"/>
      <c r="L20" s="4"/>
      <c r="M20" s="4"/>
      <c r="N20" s="4"/>
    </row>
    <row r="21" customFormat="false" ht="18.75" hidden="false" customHeight="true" outlineLevel="0" collapsed="false">
      <c r="A21" s="7" t="s">
        <v>27</v>
      </c>
      <c r="B21" s="7"/>
      <c r="C21" s="7"/>
      <c r="D21" s="7"/>
      <c r="E21" s="7"/>
      <c r="F21" s="7"/>
      <c r="G21" s="7"/>
      <c r="H21" s="7"/>
      <c r="I21" s="3"/>
      <c r="J21" s="3"/>
      <c r="K21" s="4"/>
      <c r="L21" s="4"/>
      <c r="M21" s="4"/>
      <c r="N21" s="4"/>
    </row>
    <row r="22" customFormat="false" ht="15" hidden="false" customHeight="true" outlineLevel="0" collapsed="false">
      <c r="A22" s="8" t="s">
        <v>28</v>
      </c>
      <c r="B22" s="9" t="s">
        <v>29</v>
      </c>
      <c r="C22" s="3"/>
      <c r="D22" s="3"/>
      <c r="E22" s="3"/>
      <c r="F22" s="3"/>
      <c r="G22" s="3"/>
      <c r="H22" s="3"/>
      <c r="I22" s="3"/>
      <c r="J22" s="3"/>
      <c r="K22" s="4"/>
      <c r="L22" s="4"/>
      <c r="M22" s="4"/>
      <c r="N22" s="4"/>
    </row>
    <row r="23" customFormat="false" ht="27" hidden="false" customHeight="true" outlineLevel="0" collapsed="false">
      <c r="A23" s="15" t="s">
        <v>30</v>
      </c>
      <c r="B23" s="16" t="s">
        <v>31</v>
      </c>
      <c r="C23" s="16"/>
      <c r="D23" s="16"/>
      <c r="E23" s="16"/>
      <c r="F23" s="16"/>
      <c r="G23" s="16"/>
      <c r="H23" s="16"/>
      <c r="I23" s="3"/>
      <c r="J23" s="3"/>
      <c r="K23" s="4"/>
      <c r="L23" s="4"/>
      <c r="M23" s="4"/>
      <c r="N23" s="4"/>
    </row>
    <row r="24" customFormat="false" ht="27" hidden="false" customHeight="true" outlineLevel="0" collapsed="false">
      <c r="A24" s="15" t="s">
        <v>32</v>
      </c>
      <c r="B24" s="16" t="s">
        <v>33</v>
      </c>
      <c r="C24" s="16"/>
      <c r="D24" s="16"/>
      <c r="E24" s="16"/>
      <c r="F24" s="16"/>
      <c r="G24" s="16"/>
      <c r="H24" s="16"/>
      <c r="I24" s="3"/>
      <c r="J24" s="3"/>
      <c r="K24" s="4"/>
      <c r="L24" s="4"/>
      <c r="M24" s="4"/>
      <c r="N24" s="4"/>
    </row>
    <row r="25" customFormat="false" ht="27" hidden="false" customHeight="true" outlineLevel="0" collapsed="false">
      <c r="A25" s="15" t="s">
        <v>34</v>
      </c>
      <c r="B25" s="16" t="s">
        <v>35</v>
      </c>
      <c r="C25" s="16"/>
      <c r="D25" s="16"/>
      <c r="E25" s="16"/>
      <c r="F25" s="16"/>
      <c r="G25" s="16"/>
      <c r="H25" s="16"/>
      <c r="I25" s="3"/>
      <c r="J25" s="3"/>
      <c r="K25" s="4"/>
      <c r="L25" s="4"/>
      <c r="M25" s="4"/>
      <c r="N25" s="4"/>
    </row>
    <row r="26" customFormat="false" ht="27" hidden="false" customHeight="true" outlineLevel="0" collapsed="false">
      <c r="A26" s="15" t="s">
        <v>36</v>
      </c>
      <c r="B26" s="16" t="s">
        <v>37</v>
      </c>
      <c r="C26" s="16"/>
      <c r="D26" s="16"/>
      <c r="E26" s="16"/>
      <c r="F26" s="16"/>
      <c r="G26" s="16"/>
      <c r="H26" s="16"/>
      <c r="I26" s="3"/>
      <c r="J26" s="3"/>
      <c r="K26" s="4"/>
      <c r="L26" s="4"/>
      <c r="M26" s="4"/>
      <c r="N26" s="4"/>
    </row>
    <row r="27" customFormat="false" ht="27" hidden="false" customHeight="true" outlineLevel="0" collapsed="false">
      <c r="A27" s="15" t="s">
        <v>38</v>
      </c>
      <c r="B27" s="16" t="s">
        <v>39</v>
      </c>
      <c r="C27" s="16"/>
      <c r="D27" s="16"/>
      <c r="E27" s="16"/>
      <c r="F27" s="16"/>
      <c r="G27" s="16"/>
      <c r="H27" s="16"/>
      <c r="I27" s="3"/>
      <c r="J27" s="3"/>
      <c r="K27" s="4"/>
      <c r="L27" s="4"/>
      <c r="M27" s="4"/>
      <c r="N27" s="4"/>
    </row>
    <row r="28" customFormat="false" ht="27" hidden="false" customHeight="true" outlineLevel="0" collapsed="false">
      <c r="A28" s="15" t="s">
        <v>40</v>
      </c>
      <c r="B28" s="16" t="s">
        <v>41</v>
      </c>
      <c r="C28" s="16"/>
      <c r="D28" s="16"/>
      <c r="E28" s="16"/>
      <c r="F28" s="16"/>
      <c r="G28" s="16"/>
      <c r="H28" s="16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6"/>
      <c r="B29" s="3"/>
      <c r="C29" s="3"/>
      <c r="D29" s="3"/>
      <c r="E29" s="3"/>
      <c r="F29" s="3"/>
      <c r="G29" s="3"/>
      <c r="H29" s="3"/>
      <c r="I29" s="3"/>
      <c r="J29" s="3"/>
      <c r="K29" s="4"/>
      <c r="L29" s="4"/>
      <c r="M29" s="4"/>
      <c r="N29" s="4"/>
    </row>
    <row r="30" customFormat="false" ht="18.75" hidden="false" customHeight="true" outlineLevel="0" collapsed="false">
      <c r="A30" s="7" t="s">
        <v>42</v>
      </c>
      <c r="B30" s="7"/>
      <c r="C30" s="7"/>
      <c r="D30" s="7"/>
      <c r="E30" s="7"/>
      <c r="F30" s="7"/>
      <c r="G30" s="7"/>
      <c r="H30" s="7"/>
      <c r="I30" s="3"/>
      <c r="J30" s="3"/>
      <c r="K30" s="4"/>
      <c r="L30" s="4"/>
      <c r="M30" s="4"/>
      <c r="N30" s="4"/>
    </row>
    <row r="31" customFormat="false" ht="23.25" hidden="false" customHeight="true" outlineLevel="0" collapsed="false">
      <c r="A31" s="8" t="s">
        <v>43</v>
      </c>
      <c r="B31" s="17" t="s">
        <v>44</v>
      </c>
      <c r="C31" s="17" t="s">
        <v>45</v>
      </c>
      <c r="D31" s="17" t="s">
        <v>46</v>
      </c>
      <c r="E31" s="17" t="s">
        <v>47</v>
      </c>
      <c r="F31" s="17" t="s">
        <v>48</v>
      </c>
      <c r="G31" s="17" t="s">
        <v>49</v>
      </c>
      <c r="H31" s="9" t="s">
        <v>50</v>
      </c>
      <c r="I31" s="3"/>
      <c r="J31" s="3"/>
      <c r="K31" s="4"/>
      <c r="L31" s="4"/>
      <c r="M31" s="4"/>
      <c r="N31" s="4"/>
    </row>
    <row r="32" customFormat="false" ht="33.75" hidden="false" customHeight="true" outlineLevel="0" collapsed="false">
      <c r="A32" s="18" t="s">
        <v>51</v>
      </c>
      <c r="B32" s="19" t="n">
        <f aca="false">Scenarios!D5</f>
        <v>3617.386811</v>
      </c>
      <c r="C32" s="19" t="n">
        <f aca="false">Scenarios!E5</f>
        <v>494.17732908984</v>
      </c>
      <c r="D32" s="20" t="n">
        <f aca="false">Scenarios!F5</f>
        <v>0.727782762204573</v>
      </c>
      <c r="E32" s="19" t="n">
        <f aca="false">Scenarios!G5</f>
        <v>303.0746216</v>
      </c>
      <c r="F32" s="21" t="str">
        <f aca="false">Scenarios!H5</f>
        <v>No</v>
      </c>
      <c r="G32" s="19" t="n">
        <f aca="false">Scenarios!I5</f>
        <v>740</v>
      </c>
      <c r="H32" s="21" t="str">
        <f aca="false">Scenarios!J5</f>
        <v>Standalone operating case</v>
      </c>
      <c r="I32" s="3"/>
      <c r="J32" s="3"/>
      <c r="K32" s="4"/>
      <c r="L32" s="4"/>
      <c r="M32" s="4"/>
      <c r="N32" s="4"/>
    </row>
    <row r="33" customFormat="false" ht="33.75" hidden="false" customHeight="true" outlineLevel="0" collapsed="false">
      <c r="A33" s="18" t="s">
        <v>52</v>
      </c>
      <c r="B33" s="19" t="n">
        <f aca="false">Scenarios!D6</f>
        <v>3204.394903</v>
      </c>
      <c r="C33" s="19" t="n">
        <f aca="false">Scenarios!E6</f>
        <v>639.50606178172</v>
      </c>
      <c r="D33" s="20" t="n">
        <f aca="false">Scenarios!F6</f>
        <v>1.26186772726233</v>
      </c>
      <c r="E33" s="19" t="n">
        <f aca="false">Scenarios!G6</f>
        <v>200.7058292</v>
      </c>
      <c r="F33" s="21" t="str">
        <f aca="false">Scenarios!H6</f>
        <v>Yes</v>
      </c>
      <c r="G33" s="19" t="n">
        <f aca="false">Scenarios!I6</f>
        <v>740</v>
      </c>
      <c r="H33" s="21" t="str">
        <f aca="false">Scenarios!J6</f>
        <v>Lower growth, margin and cash conversion; dividend reduced from FY2027</v>
      </c>
      <c r="I33" s="3"/>
      <c r="J33" s="3"/>
      <c r="K33" s="4"/>
      <c r="L33" s="4"/>
      <c r="M33" s="4"/>
      <c r="N33" s="4"/>
    </row>
    <row r="34" customFormat="false" ht="33.75" hidden="false" customHeight="true" outlineLevel="0" collapsed="false">
      <c r="A34" s="18" t="s">
        <v>53</v>
      </c>
      <c r="B34" s="19" t="n">
        <f aca="false">Scenarios!D7</f>
        <v>3725.901288</v>
      </c>
      <c r="C34" s="19" t="n">
        <f aca="false">Scenarios!E7</f>
        <v>315.00162395552</v>
      </c>
      <c r="D34" s="20" t="n">
        <f aca="false">Scenarios!F7</f>
        <v>0.378841329989753</v>
      </c>
      <c r="E34" s="19" t="n">
        <f aca="false">Scenarios!G7</f>
        <v>358.8914312</v>
      </c>
      <c r="F34" s="21" t="str">
        <f aca="false">Scenarios!H7</f>
        <v>No</v>
      </c>
      <c r="G34" s="19" t="n">
        <f aca="false">Scenarios!I7</f>
        <v>740</v>
      </c>
      <c r="H34" s="21" t="str">
        <f aca="false">Scenarios!J7</f>
        <v>Higher growth, margin and cash conversion</v>
      </c>
      <c r="I34" s="3"/>
      <c r="J34" s="3"/>
      <c r="K34" s="4"/>
      <c r="L34" s="4"/>
      <c r="M34" s="4"/>
      <c r="N34" s="4"/>
    </row>
    <row r="35" customFormat="false" ht="33.75" hidden="false" customHeight="true" outlineLevel="0" collapsed="false">
      <c r="A35" s="18" t="s">
        <v>54</v>
      </c>
      <c r="B35" s="19" t="n">
        <f aca="false">Scenarios!D8</f>
        <v>3010.243625</v>
      </c>
      <c r="C35" s="19" t="n">
        <f aca="false">Scenarios!E8</f>
        <v>1059.4283281625</v>
      </c>
      <c r="D35" s="20" t="n">
        <f aca="false">Scenarios!F8</f>
        <v>2.77925190508499</v>
      </c>
      <c r="E35" s="19" t="n">
        <f aca="false">Scenarios!G8</f>
        <v>-143.4283281625</v>
      </c>
      <c r="F35" s="21" t="str">
        <f aca="false">Scenarios!H8</f>
        <v>Yes</v>
      </c>
      <c r="G35" s="19" t="n">
        <f aca="false">Scenarios!I8</f>
        <v>740</v>
      </c>
      <c r="H35" s="21" t="str">
        <f aca="false">Scenarios!J8</f>
        <v>Severe operating/cash conversion stress; dividend maintained</v>
      </c>
      <c r="I35" s="3"/>
      <c r="J35" s="3"/>
      <c r="K35" s="4"/>
      <c r="L35" s="4"/>
      <c r="M35" s="4"/>
      <c r="N35" s="4"/>
    </row>
    <row r="36" customFormat="false" ht="15" hidden="false" customHeight="true" outlineLevel="0" collapsed="false">
      <c r="A36" s="6"/>
      <c r="B36" s="3"/>
      <c r="C36" s="3"/>
      <c r="D36" s="3"/>
      <c r="E36" s="3"/>
      <c r="F36" s="3"/>
      <c r="G36" s="3"/>
      <c r="H36" s="3"/>
      <c r="I36" s="3"/>
      <c r="J36" s="3"/>
      <c r="K36" s="4"/>
      <c r="L36" s="4"/>
      <c r="M36" s="4"/>
      <c r="N36" s="4"/>
    </row>
    <row r="37" customFormat="false" ht="15" hidden="false" customHeight="true" outlineLevel="0" collapsed="false">
      <c r="A37" s="6"/>
      <c r="B37" s="3"/>
      <c r="C37" s="3"/>
      <c r="D37" s="3"/>
      <c r="E37" s="3"/>
      <c r="F37" s="3"/>
      <c r="G37" s="3"/>
      <c r="H37" s="3"/>
      <c r="I37" s="3"/>
      <c r="J37" s="3"/>
      <c r="K37" s="4"/>
      <c r="L37" s="4"/>
      <c r="M37" s="4"/>
      <c r="N37" s="4"/>
    </row>
    <row r="38" customFormat="false" ht="15" hidden="false" customHeight="true" outlineLevel="0" collapsed="false">
      <c r="A38" s="6"/>
      <c r="B38" s="3"/>
      <c r="C38" s="3"/>
      <c r="D38" s="3"/>
      <c r="E38" s="3"/>
      <c r="F38" s="3"/>
      <c r="G38" s="3"/>
      <c r="H38" s="3"/>
      <c r="I38" s="3"/>
      <c r="J38" s="3"/>
      <c r="K38" s="4"/>
      <c r="L38" s="4"/>
      <c r="M38" s="4"/>
      <c r="N38" s="4"/>
    </row>
    <row r="39" customFormat="false" ht="15" hidden="false" customHeight="true" outlineLevel="0" collapsed="false">
      <c r="A39" s="6"/>
      <c r="B39" s="3"/>
      <c r="C39" s="3"/>
      <c r="D39" s="3"/>
      <c r="E39" s="3"/>
      <c r="F39" s="3"/>
      <c r="G39" s="3"/>
      <c r="H39" s="3"/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6"/>
      <c r="B40" s="3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6"/>
      <c r="B41" s="3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4"/>
    </row>
    <row r="42" customFormat="false" ht="15" hidden="false" customHeight="true" outlineLevel="0" collapsed="false">
      <c r="A42" s="6"/>
      <c r="B42" s="3"/>
      <c r="C42" s="3"/>
      <c r="D42" s="3"/>
      <c r="E42" s="3"/>
      <c r="F42" s="3"/>
      <c r="G42" s="3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6"/>
      <c r="B43" s="3"/>
      <c r="C43" s="3"/>
      <c r="D43" s="3"/>
      <c r="E43" s="3"/>
      <c r="F43" s="3"/>
      <c r="G43" s="3"/>
      <c r="H43" s="3"/>
      <c r="I43" s="3"/>
      <c r="J43" s="3"/>
      <c r="K43" s="4"/>
      <c r="L43" s="4"/>
      <c r="M43" s="4"/>
      <c r="N43" s="4"/>
    </row>
    <row r="44" customFormat="false" ht="15" hidden="false" customHeight="true" outlineLevel="0" collapsed="false">
      <c r="A44" s="6"/>
      <c r="B44" s="3"/>
      <c r="C44" s="3"/>
      <c r="D44" s="3"/>
      <c r="E44" s="3"/>
      <c r="F44" s="3"/>
      <c r="G44" s="3"/>
      <c r="H44" s="3"/>
      <c r="I44" s="3"/>
      <c r="J44" s="3"/>
      <c r="K44" s="4"/>
      <c r="L44" s="4"/>
      <c r="M44" s="4"/>
      <c r="N44" s="4"/>
    </row>
    <row r="45" customFormat="false" ht="15" hidden="false" customHeight="true" outlineLevel="0" collapsed="false">
      <c r="A45" s="6"/>
      <c r="B45" s="3"/>
      <c r="C45" s="3"/>
      <c r="D45" s="3"/>
      <c r="E45" s="3"/>
      <c r="F45" s="3"/>
      <c r="G45" s="3"/>
      <c r="H45" s="3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18">
    <mergeCell ref="A1:H1"/>
    <mergeCell ref="A2:H2"/>
    <mergeCell ref="A4:H4"/>
    <mergeCell ref="A13:H13"/>
    <mergeCell ref="B14:H14"/>
    <mergeCell ref="B15:H15"/>
    <mergeCell ref="B16:H16"/>
    <mergeCell ref="B17:H17"/>
    <mergeCell ref="B18:H18"/>
    <mergeCell ref="B19:H19"/>
    <mergeCell ref="A21:H21"/>
    <mergeCell ref="B23:H23"/>
    <mergeCell ref="B24:H24"/>
    <mergeCell ref="B25:H25"/>
    <mergeCell ref="B26:H26"/>
    <mergeCell ref="B27:H27"/>
    <mergeCell ref="B28:H28"/>
    <mergeCell ref="A30:H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2" t="s">
        <v>55</v>
      </c>
      <c r="B1" s="2"/>
      <c r="C1" s="2"/>
      <c r="D1" s="2"/>
      <c r="E1" s="3"/>
      <c r="F1" s="3"/>
      <c r="G1" s="3"/>
      <c r="H1" s="3"/>
      <c r="I1" s="3"/>
      <c r="J1" s="3"/>
      <c r="K1" s="4"/>
      <c r="L1" s="4"/>
      <c r="M1" s="4"/>
      <c r="N1" s="4"/>
    </row>
    <row r="2" customFormat="false" ht="30" hidden="false" customHeight="true" outlineLevel="0" collapsed="false">
      <c r="A2" s="5" t="s">
        <v>56</v>
      </c>
      <c r="B2" s="5"/>
      <c r="C2" s="5"/>
      <c r="D2" s="5"/>
      <c r="E2" s="3"/>
      <c r="F2" s="3"/>
      <c r="G2" s="3"/>
      <c r="H2" s="3"/>
      <c r="I2" s="3"/>
      <c r="J2" s="3"/>
      <c r="K2" s="4"/>
      <c r="L2" s="4"/>
      <c r="M2" s="4"/>
      <c r="N2" s="4"/>
    </row>
    <row r="3" customFormat="false" ht="15" hidden="false" customHeight="true" outlineLevel="0" collapsed="false">
      <c r="A3" s="6"/>
      <c r="B3" s="3"/>
      <c r="C3" s="3"/>
      <c r="D3" s="3"/>
      <c r="E3" s="3"/>
      <c r="F3" s="3"/>
      <c r="G3" s="3"/>
      <c r="H3" s="3"/>
      <c r="I3" s="3"/>
      <c r="J3" s="3"/>
      <c r="K3" s="4"/>
      <c r="L3" s="4"/>
      <c r="M3" s="4"/>
      <c r="N3" s="4"/>
    </row>
    <row r="4" customFormat="false" ht="18.75" hidden="false" customHeight="true" outlineLevel="0" collapsed="false">
      <c r="A4" s="7" t="s">
        <v>57</v>
      </c>
      <c r="B4" s="7"/>
      <c r="C4" s="7"/>
      <c r="D4" s="7"/>
      <c r="E4" s="3"/>
      <c r="F4" s="3"/>
      <c r="G4" s="3"/>
      <c r="H4" s="3"/>
      <c r="I4" s="3"/>
      <c r="J4" s="3"/>
      <c r="K4" s="4"/>
      <c r="L4" s="4"/>
      <c r="M4" s="4"/>
      <c r="N4" s="4"/>
    </row>
    <row r="5" customFormat="false" ht="15" hidden="false" customHeight="true" outlineLevel="0" collapsed="false">
      <c r="A5" s="8" t="s">
        <v>58</v>
      </c>
      <c r="B5" s="17" t="s">
        <v>59</v>
      </c>
      <c r="C5" s="9" t="s">
        <v>60</v>
      </c>
      <c r="D5" s="3"/>
      <c r="E5" s="3"/>
      <c r="F5" s="3"/>
      <c r="G5" s="3"/>
      <c r="H5" s="3"/>
      <c r="I5" s="3"/>
      <c r="J5" s="3"/>
      <c r="K5" s="4"/>
      <c r="L5" s="4"/>
      <c r="M5" s="4"/>
      <c r="N5" s="4"/>
    </row>
    <row r="6" customFormat="false" ht="15" hidden="false" customHeight="true" outlineLevel="0" collapsed="false">
      <c r="A6" s="10" t="s">
        <v>61</v>
      </c>
      <c r="B6" s="22" t="n">
        <v>0.01</v>
      </c>
      <c r="C6" s="23" t="s">
        <v>62</v>
      </c>
      <c r="D6" s="3"/>
      <c r="E6" s="3"/>
      <c r="F6" s="3"/>
      <c r="G6" s="3"/>
      <c r="H6" s="3"/>
      <c r="I6" s="3"/>
      <c r="J6" s="3"/>
      <c r="K6" s="4"/>
      <c r="L6" s="4"/>
      <c r="M6" s="4"/>
      <c r="N6" s="4"/>
    </row>
    <row r="7" customFormat="false" ht="23.25" hidden="false" customHeight="true" outlineLevel="0" collapsed="false">
      <c r="A7" s="10" t="s">
        <v>63</v>
      </c>
      <c r="B7" s="22" t="n">
        <v>0.152</v>
      </c>
      <c r="C7" s="23" t="s">
        <v>64</v>
      </c>
      <c r="D7" s="3"/>
      <c r="E7" s="3"/>
      <c r="F7" s="3"/>
      <c r="G7" s="3"/>
      <c r="H7" s="3"/>
      <c r="I7" s="3"/>
      <c r="J7" s="3"/>
      <c r="K7" s="4"/>
      <c r="L7" s="4"/>
      <c r="M7" s="4"/>
      <c r="N7" s="4"/>
    </row>
    <row r="8" customFormat="false" ht="15" hidden="false" customHeight="true" outlineLevel="0" collapsed="false">
      <c r="A8" s="10" t="s">
        <v>65</v>
      </c>
      <c r="B8" s="24" t="n">
        <v>48</v>
      </c>
      <c r="C8" s="23" t="s">
        <v>66</v>
      </c>
      <c r="D8" s="3"/>
      <c r="E8" s="3"/>
      <c r="F8" s="3"/>
      <c r="G8" s="3"/>
      <c r="H8" s="3"/>
      <c r="I8" s="3"/>
      <c r="J8" s="3"/>
      <c r="K8" s="4"/>
      <c r="L8" s="4"/>
      <c r="M8" s="4"/>
      <c r="N8" s="4"/>
    </row>
    <row r="9" customFormat="false" ht="15" hidden="false" customHeight="true" outlineLevel="0" collapsed="false">
      <c r="A9" s="10" t="s">
        <v>67</v>
      </c>
      <c r="B9" s="24" t="n">
        <v>21</v>
      </c>
      <c r="C9" s="23" t="s">
        <v>66</v>
      </c>
      <c r="D9" s="3"/>
      <c r="E9" s="3"/>
      <c r="F9" s="3"/>
      <c r="G9" s="3"/>
      <c r="H9" s="3"/>
      <c r="I9" s="3"/>
      <c r="J9" s="3"/>
      <c r="K9" s="4"/>
      <c r="L9" s="4"/>
      <c r="M9" s="4"/>
      <c r="N9" s="4"/>
    </row>
    <row r="10" customFormat="false" ht="15" hidden="false" customHeight="true" outlineLevel="0" collapsed="false">
      <c r="A10" s="10" t="s">
        <v>68</v>
      </c>
      <c r="B10" s="24" t="n">
        <v>5</v>
      </c>
      <c r="C10" s="23" t="s">
        <v>66</v>
      </c>
      <c r="D10" s="3"/>
      <c r="E10" s="3"/>
      <c r="F10" s="3"/>
      <c r="G10" s="3"/>
      <c r="H10" s="3"/>
      <c r="I10" s="3"/>
      <c r="J10" s="3"/>
      <c r="K10" s="4"/>
      <c r="L10" s="4"/>
      <c r="M10" s="4"/>
      <c r="N10" s="4"/>
    </row>
    <row r="11" customFormat="false" ht="15" hidden="false" customHeight="true" outlineLevel="0" collapsed="false">
      <c r="A11" s="10" t="s">
        <v>69</v>
      </c>
      <c r="B11" s="24" t="n">
        <v>40</v>
      </c>
      <c r="C11" s="23" t="s">
        <v>66</v>
      </c>
      <c r="D11" s="3"/>
      <c r="E11" s="3"/>
      <c r="F11" s="3"/>
      <c r="G11" s="3"/>
      <c r="H11" s="3"/>
      <c r="I11" s="3"/>
      <c r="J11" s="3"/>
      <c r="K11" s="4"/>
      <c r="L11" s="4"/>
      <c r="M11" s="4"/>
      <c r="N11" s="4"/>
    </row>
    <row r="12" customFormat="false" ht="23.25" hidden="false" customHeight="true" outlineLevel="0" collapsed="false">
      <c r="A12" s="10" t="s">
        <v>70</v>
      </c>
      <c r="B12" s="22" t="n">
        <v>0.27</v>
      </c>
      <c r="C12" s="23" t="s">
        <v>71</v>
      </c>
      <c r="D12" s="3"/>
      <c r="E12" s="3"/>
      <c r="F12" s="3"/>
      <c r="G12" s="3"/>
      <c r="H12" s="3"/>
      <c r="I12" s="3"/>
      <c r="J12" s="3"/>
      <c r="K12" s="4"/>
      <c r="L12" s="4"/>
      <c r="M12" s="4"/>
      <c r="N12" s="4"/>
    </row>
    <row r="13" customFormat="false" ht="45.75" hidden="false" customHeight="true" outlineLevel="0" collapsed="false">
      <c r="A13" s="10" t="s">
        <v>72</v>
      </c>
      <c r="B13" s="22" t="n">
        <v>0.8</v>
      </c>
      <c r="C13" s="23" t="s">
        <v>73</v>
      </c>
      <c r="D13" s="3"/>
      <c r="E13" s="3"/>
      <c r="F13" s="3"/>
      <c r="G13" s="3"/>
      <c r="H13" s="3"/>
      <c r="I13" s="3"/>
      <c r="J13" s="3"/>
      <c r="K13" s="4"/>
      <c r="L13" s="4"/>
      <c r="M13" s="4"/>
      <c r="N13" s="4"/>
    </row>
    <row r="14" customFormat="false" ht="15" hidden="false" customHeight="true" outlineLevel="0" collapsed="false">
      <c r="A14" s="10" t="s">
        <v>74</v>
      </c>
      <c r="B14" s="24" t="n">
        <v>3</v>
      </c>
      <c r="C14" s="23" t="s">
        <v>66</v>
      </c>
      <c r="D14" s="3"/>
      <c r="E14" s="3"/>
      <c r="F14" s="3"/>
      <c r="G14" s="3"/>
      <c r="H14" s="3"/>
      <c r="I14" s="3"/>
      <c r="J14" s="3"/>
      <c r="K14" s="4"/>
      <c r="L14" s="4"/>
      <c r="M14" s="4"/>
      <c r="N14" s="4"/>
    </row>
    <row r="15" customFormat="false" ht="15" hidden="false" customHeight="true" outlineLevel="0" collapsed="false">
      <c r="A15" s="10" t="s">
        <v>75</v>
      </c>
      <c r="B15" s="25" t="n">
        <v>0.05</v>
      </c>
      <c r="C15" s="23" t="s">
        <v>76</v>
      </c>
      <c r="D15" s="3"/>
      <c r="E15" s="3"/>
      <c r="F15" s="3"/>
      <c r="G15" s="3"/>
      <c r="H15" s="3"/>
      <c r="I15" s="3"/>
      <c r="J15" s="3"/>
      <c r="K15" s="4"/>
      <c r="L15" s="4"/>
      <c r="M15" s="4"/>
      <c r="N15" s="4"/>
    </row>
    <row r="16" customFormat="false" ht="15" hidden="false" customHeight="true" outlineLevel="0" collapsed="false">
      <c r="A16" s="10" t="s">
        <v>77</v>
      </c>
      <c r="B16" s="24" t="n">
        <v>3752</v>
      </c>
      <c r="C16" s="23" t="s">
        <v>78</v>
      </c>
      <c r="D16" s="3"/>
      <c r="E16" s="3"/>
      <c r="F16" s="3"/>
      <c r="G16" s="3"/>
      <c r="H16" s="3"/>
      <c r="I16" s="3"/>
      <c r="J16" s="3"/>
      <c r="K16" s="4"/>
      <c r="L16" s="4"/>
      <c r="M16" s="4"/>
      <c r="N16" s="4"/>
    </row>
    <row r="17" customFormat="false" ht="57" hidden="false" customHeight="true" outlineLevel="0" collapsed="false">
      <c r="A17" s="10" t="s">
        <v>79</v>
      </c>
      <c r="B17" s="24" t="n">
        <v>60</v>
      </c>
      <c r="C17" s="23" t="s">
        <v>80</v>
      </c>
      <c r="D17" s="3"/>
      <c r="E17" s="3"/>
      <c r="F17" s="3"/>
      <c r="G17" s="3"/>
      <c r="H17" s="3"/>
      <c r="I17" s="3"/>
      <c r="J17" s="3"/>
      <c r="K17" s="4"/>
      <c r="L17" s="4"/>
      <c r="M17" s="4"/>
      <c r="N17" s="4"/>
    </row>
    <row r="18" customFormat="false" ht="15" hidden="false" customHeight="true" outlineLevel="0" collapsed="false">
      <c r="A18" s="10" t="s">
        <v>81</v>
      </c>
      <c r="B18" s="24" t="n">
        <v>264</v>
      </c>
      <c r="C18" s="23" t="s">
        <v>82</v>
      </c>
      <c r="D18" s="3"/>
      <c r="E18" s="3"/>
      <c r="F18" s="3"/>
      <c r="G18" s="3"/>
      <c r="H18" s="3"/>
      <c r="I18" s="3"/>
      <c r="J18" s="3"/>
      <c r="K18" s="4"/>
      <c r="L18" s="4"/>
      <c r="M18" s="4"/>
      <c r="N18" s="4"/>
    </row>
    <row r="19" customFormat="false" ht="15" hidden="false" customHeight="true" outlineLevel="0" collapsed="false">
      <c r="A19" s="6"/>
      <c r="B19" s="3"/>
      <c r="C19" s="3"/>
      <c r="D19" s="3"/>
      <c r="E19" s="3"/>
      <c r="F19" s="3"/>
      <c r="G19" s="3"/>
      <c r="H19" s="3"/>
      <c r="I19" s="3"/>
      <c r="J19" s="3"/>
      <c r="K19" s="4"/>
      <c r="L19" s="4"/>
      <c r="M19" s="4"/>
      <c r="N19" s="4"/>
    </row>
    <row r="20" customFormat="false" ht="18.75" hidden="false" customHeight="true" outlineLevel="0" collapsed="false">
      <c r="A20" s="7" t="s">
        <v>83</v>
      </c>
      <c r="B20" s="7"/>
      <c r="C20" s="7"/>
      <c r="D20" s="7"/>
      <c r="E20" s="3"/>
      <c r="F20" s="3"/>
      <c r="G20" s="3"/>
      <c r="H20" s="3"/>
      <c r="I20" s="3"/>
      <c r="J20" s="3"/>
      <c r="K20" s="4"/>
      <c r="L20" s="4"/>
      <c r="M20" s="4"/>
      <c r="N20" s="4"/>
    </row>
    <row r="21" customFormat="false" ht="15" hidden="false" customHeight="true" outlineLevel="0" collapsed="false">
      <c r="A21" s="8" t="s">
        <v>58</v>
      </c>
      <c r="B21" s="17" t="s">
        <v>59</v>
      </c>
      <c r="C21" s="9" t="s">
        <v>84</v>
      </c>
      <c r="D21" s="3"/>
      <c r="E21" s="3"/>
      <c r="F21" s="3"/>
      <c r="G21" s="3"/>
      <c r="H21" s="3"/>
      <c r="I21" s="3"/>
      <c r="J21" s="3"/>
      <c r="K21" s="4"/>
      <c r="L21" s="4"/>
      <c r="M21" s="4"/>
      <c r="N21" s="4"/>
    </row>
    <row r="22" customFormat="false" ht="15" hidden="false" customHeight="true" outlineLevel="0" collapsed="false">
      <c r="A22" s="10" t="s">
        <v>85</v>
      </c>
      <c r="B22" s="26" t="n">
        <v>652</v>
      </c>
      <c r="C22" s="27" t="s">
        <v>86</v>
      </c>
      <c r="D22" s="3"/>
      <c r="E22" s="3"/>
      <c r="F22" s="3"/>
      <c r="G22" s="3"/>
      <c r="H22" s="3"/>
      <c r="I22" s="3"/>
      <c r="J22" s="3"/>
      <c r="K22" s="4"/>
      <c r="L22" s="4"/>
      <c r="M22" s="4"/>
      <c r="N22" s="4"/>
    </row>
    <row r="23" customFormat="false" ht="15" hidden="false" customHeight="true" outlineLevel="0" collapsed="false">
      <c r="A23" s="10" t="s">
        <v>87</v>
      </c>
      <c r="B23" s="26" t="n">
        <v>555</v>
      </c>
      <c r="C23" s="27" t="s">
        <v>86</v>
      </c>
      <c r="D23" s="3"/>
      <c r="E23" s="3"/>
      <c r="F23" s="3"/>
      <c r="G23" s="3"/>
      <c r="H23" s="3"/>
      <c r="I23" s="3"/>
      <c r="J23" s="3"/>
      <c r="K23" s="4"/>
      <c r="L23" s="4"/>
      <c r="M23" s="4"/>
      <c r="N23" s="4"/>
    </row>
    <row r="24" customFormat="false" ht="15" hidden="false" customHeight="true" outlineLevel="0" collapsed="false">
      <c r="A24" s="10" t="s">
        <v>88</v>
      </c>
      <c r="B24" s="26" t="n">
        <v>1</v>
      </c>
      <c r="C24" s="27" t="s">
        <v>86</v>
      </c>
      <c r="D24" s="3"/>
      <c r="E24" s="3"/>
      <c r="F24" s="3"/>
      <c r="G24" s="3"/>
      <c r="H24" s="3"/>
      <c r="I24" s="3"/>
      <c r="J24" s="3"/>
      <c r="K24" s="4"/>
      <c r="L24" s="4"/>
      <c r="M24" s="4"/>
      <c r="N24" s="4"/>
    </row>
    <row r="25" customFormat="false" ht="15" hidden="false" customHeight="true" outlineLevel="0" collapsed="false">
      <c r="A25" s="10" t="s">
        <v>89</v>
      </c>
      <c r="B25" s="26" t="n">
        <v>40</v>
      </c>
      <c r="C25" s="27" t="s">
        <v>90</v>
      </c>
      <c r="D25" s="3"/>
      <c r="E25" s="3"/>
      <c r="F25" s="3"/>
      <c r="G25" s="3"/>
      <c r="H25" s="3"/>
      <c r="I25" s="3"/>
      <c r="J25" s="3"/>
      <c r="K25" s="4"/>
      <c r="L25" s="4"/>
      <c r="M25" s="4"/>
      <c r="N25" s="4"/>
    </row>
    <row r="26" customFormat="false" ht="15" hidden="false" customHeight="true" outlineLevel="0" collapsed="false">
      <c r="A26" s="10" t="s">
        <v>91</v>
      </c>
      <c r="B26" s="11" t="n">
        <f aca="false">Forecast!F35</f>
        <v>612.9253784</v>
      </c>
      <c r="C26" s="27" t="s">
        <v>92</v>
      </c>
      <c r="D26" s="3"/>
      <c r="E26" s="3"/>
      <c r="F26" s="3"/>
      <c r="G26" s="3"/>
      <c r="H26" s="3"/>
      <c r="I26" s="3"/>
      <c r="J26" s="3"/>
      <c r="K26" s="4"/>
      <c r="L26" s="4"/>
      <c r="M26" s="4"/>
      <c r="N26" s="4"/>
    </row>
    <row r="27" customFormat="false" ht="15" hidden="false" customHeight="true" outlineLevel="0" collapsed="false">
      <c r="A27" s="6"/>
      <c r="B27" s="28"/>
      <c r="C27" s="3"/>
      <c r="D27" s="3"/>
      <c r="E27" s="3"/>
      <c r="F27" s="3"/>
      <c r="G27" s="3"/>
      <c r="H27" s="3"/>
      <c r="I27" s="3"/>
      <c r="J27" s="3"/>
      <c r="K27" s="4"/>
      <c r="L27" s="4"/>
      <c r="M27" s="4"/>
      <c r="N27" s="4"/>
    </row>
    <row r="28" customFormat="false" ht="18.75" hidden="false" customHeight="true" outlineLevel="0" collapsed="false">
      <c r="A28" s="7" t="s">
        <v>93</v>
      </c>
      <c r="B28" s="7"/>
      <c r="C28" s="7"/>
      <c r="D28" s="7"/>
      <c r="E28" s="3"/>
      <c r="F28" s="3"/>
      <c r="G28" s="3"/>
      <c r="H28" s="3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8" t="s">
        <v>58</v>
      </c>
      <c r="B29" s="29" t="s">
        <v>59</v>
      </c>
      <c r="C29" s="9" t="s">
        <v>84</v>
      </c>
      <c r="D29" s="3"/>
      <c r="E29" s="3"/>
      <c r="F29" s="3"/>
      <c r="G29" s="3"/>
      <c r="H29" s="3"/>
      <c r="I29" s="3"/>
      <c r="J29" s="3"/>
      <c r="K29" s="4"/>
      <c r="L29" s="4"/>
      <c r="M29" s="4"/>
      <c r="N29" s="4"/>
    </row>
    <row r="30" customFormat="false" ht="15" hidden="false" customHeight="true" outlineLevel="0" collapsed="false">
      <c r="A30" s="10" t="s">
        <v>94</v>
      </c>
      <c r="B30" s="26" t="n">
        <v>55</v>
      </c>
      <c r="C30" s="27" t="s">
        <v>95</v>
      </c>
      <c r="D30" s="3"/>
      <c r="E30" s="3"/>
      <c r="F30" s="3"/>
      <c r="G30" s="3"/>
      <c r="H30" s="3"/>
      <c r="I30" s="3"/>
      <c r="J30" s="3"/>
      <c r="K30" s="4"/>
      <c r="L30" s="4"/>
      <c r="M30" s="4"/>
      <c r="N30" s="4"/>
    </row>
    <row r="31" customFormat="false" ht="15" hidden="false" customHeight="true" outlineLevel="0" collapsed="false">
      <c r="A31" s="10" t="s">
        <v>96</v>
      </c>
      <c r="B31" s="26" t="n">
        <v>33</v>
      </c>
      <c r="C31" s="27" t="s">
        <v>95</v>
      </c>
      <c r="D31" s="3"/>
      <c r="E31" s="3"/>
      <c r="F31" s="3"/>
      <c r="G31" s="3"/>
      <c r="H31" s="3"/>
      <c r="I31" s="3"/>
      <c r="J31" s="3"/>
      <c r="K31" s="4"/>
      <c r="L31" s="4"/>
      <c r="M31" s="4"/>
      <c r="N31" s="4"/>
    </row>
    <row r="32" customFormat="false" ht="15" hidden="false" customHeight="true" outlineLevel="0" collapsed="false">
      <c r="A32" s="10" t="s">
        <v>97</v>
      </c>
      <c r="B32" s="30" t="n">
        <v>3.5</v>
      </c>
      <c r="C32" s="27" t="s">
        <v>98</v>
      </c>
      <c r="D32" s="3"/>
      <c r="E32" s="3"/>
      <c r="F32" s="3"/>
      <c r="G32" s="3"/>
      <c r="H32" s="3"/>
      <c r="I32" s="3"/>
      <c r="J32" s="3"/>
      <c r="K32" s="4"/>
      <c r="L32" s="4"/>
      <c r="M32" s="4"/>
      <c r="N32" s="4"/>
    </row>
    <row r="33" customFormat="false" ht="15" hidden="false" customHeight="true" outlineLevel="0" collapsed="false">
      <c r="A33" s="10" t="s">
        <v>99</v>
      </c>
      <c r="B33" s="30" t="n">
        <v>3</v>
      </c>
      <c r="C33" s="27" t="s">
        <v>98</v>
      </c>
      <c r="D33" s="3"/>
      <c r="E33" s="3"/>
      <c r="F33" s="3"/>
      <c r="G33" s="3"/>
      <c r="H33" s="3"/>
      <c r="I33" s="3"/>
      <c r="J33" s="3"/>
      <c r="K33" s="4"/>
      <c r="L33" s="4"/>
      <c r="M33" s="4"/>
      <c r="N33" s="4"/>
    </row>
    <row r="34" customFormat="false" ht="15" hidden="false" customHeight="true" outlineLevel="0" collapsed="false">
      <c r="A34" s="6"/>
      <c r="B34" s="3"/>
      <c r="C34" s="3"/>
      <c r="D34" s="3"/>
      <c r="E34" s="3"/>
      <c r="F34" s="3"/>
      <c r="G34" s="3"/>
      <c r="H34" s="3"/>
      <c r="I34" s="3"/>
      <c r="J34" s="3"/>
      <c r="K34" s="4"/>
      <c r="L34" s="4"/>
      <c r="M34" s="4"/>
      <c r="N34" s="4"/>
    </row>
    <row r="35" customFormat="false" ht="18.75" hidden="false" customHeight="true" outlineLevel="0" collapsed="false">
      <c r="A35" s="7" t="s">
        <v>100</v>
      </c>
      <c r="B35" s="7"/>
      <c r="C35" s="7"/>
      <c r="D35" s="7"/>
      <c r="E35" s="3"/>
      <c r="F35" s="3"/>
      <c r="G35" s="3"/>
      <c r="H35" s="3"/>
      <c r="I35" s="3"/>
      <c r="J35" s="3"/>
      <c r="K35" s="4"/>
      <c r="L35" s="4"/>
      <c r="M35" s="4"/>
      <c r="N35" s="4"/>
    </row>
    <row r="36" customFormat="false" ht="15" hidden="false" customHeight="true" outlineLevel="0" collapsed="false">
      <c r="A36" s="8" t="s">
        <v>58</v>
      </c>
      <c r="B36" s="17" t="s">
        <v>59</v>
      </c>
      <c r="C36" s="9" t="s">
        <v>84</v>
      </c>
      <c r="D36" s="3"/>
      <c r="E36" s="3"/>
      <c r="F36" s="3"/>
      <c r="G36" s="3"/>
      <c r="H36" s="3"/>
      <c r="I36" s="3"/>
      <c r="J36" s="3"/>
      <c r="K36" s="4"/>
      <c r="L36" s="4"/>
      <c r="M36" s="4"/>
      <c r="N36" s="4"/>
    </row>
    <row r="37" customFormat="false" ht="15" hidden="false" customHeight="true" outlineLevel="0" collapsed="false">
      <c r="A37" s="10" t="s">
        <v>101</v>
      </c>
      <c r="B37" s="26" t="n">
        <v>100</v>
      </c>
      <c r="C37" s="27" t="s">
        <v>102</v>
      </c>
      <c r="D37" s="3"/>
      <c r="E37" s="3"/>
      <c r="F37" s="3"/>
      <c r="G37" s="3"/>
      <c r="H37" s="3"/>
      <c r="I37" s="3"/>
      <c r="J37" s="3"/>
      <c r="K37" s="4"/>
      <c r="L37" s="4"/>
      <c r="M37" s="4"/>
      <c r="N37" s="4"/>
    </row>
    <row r="38" customFormat="false" ht="15" hidden="false" customHeight="true" outlineLevel="0" collapsed="false">
      <c r="A38" s="10" t="s">
        <v>103</v>
      </c>
      <c r="B38" s="31" t="s">
        <v>104</v>
      </c>
      <c r="C38" s="27" t="s">
        <v>105</v>
      </c>
      <c r="D38" s="3"/>
      <c r="E38" s="3"/>
      <c r="F38" s="3"/>
      <c r="G38" s="3"/>
      <c r="H38" s="3"/>
      <c r="I38" s="3"/>
      <c r="J38" s="3"/>
      <c r="K38" s="4"/>
      <c r="L38" s="4"/>
      <c r="M38" s="4"/>
      <c r="N38" s="4"/>
    </row>
    <row r="39" customFormat="false" ht="15" hidden="false" customHeight="true" outlineLevel="0" collapsed="false">
      <c r="A39" s="10" t="s">
        <v>106</v>
      </c>
      <c r="B39" s="31" t="n">
        <v>0</v>
      </c>
      <c r="C39" s="27" t="s">
        <v>107</v>
      </c>
      <c r="D39" s="3"/>
      <c r="E39" s="3"/>
      <c r="F39" s="3"/>
      <c r="G39" s="3"/>
      <c r="H39" s="3"/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10" t="s">
        <v>108</v>
      </c>
      <c r="B40" s="26" t="n">
        <v>124</v>
      </c>
      <c r="C40" s="27" t="s">
        <v>109</v>
      </c>
      <c r="D40" s="3"/>
      <c r="E40" s="3"/>
      <c r="F40" s="3"/>
      <c r="G40" s="3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6"/>
      <c r="B41" s="3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4"/>
    </row>
    <row r="42" customFormat="false" ht="18.75" hidden="false" customHeight="true" outlineLevel="0" collapsed="false">
      <c r="A42" s="7" t="s">
        <v>110</v>
      </c>
      <c r="B42" s="7"/>
      <c r="C42" s="7"/>
      <c r="D42" s="7"/>
      <c r="E42" s="3"/>
      <c r="F42" s="3"/>
      <c r="G42" s="3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8" t="s">
        <v>111</v>
      </c>
      <c r="B43" s="17" t="s">
        <v>59</v>
      </c>
      <c r="C43" s="9" t="s">
        <v>112</v>
      </c>
      <c r="D43" s="3"/>
      <c r="E43" s="3"/>
      <c r="F43" s="3"/>
      <c r="G43" s="3"/>
      <c r="H43" s="3"/>
      <c r="I43" s="3"/>
      <c r="J43" s="3"/>
      <c r="K43" s="4"/>
      <c r="L43" s="4"/>
      <c r="M43" s="4"/>
      <c r="N43" s="4"/>
    </row>
    <row r="44" customFormat="false" ht="34.5" hidden="false" customHeight="true" outlineLevel="0" collapsed="false">
      <c r="A44" s="18" t="s">
        <v>113</v>
      </c>
      <c r="B44" s="32" t="n">
        <v>250</v>
      </c>
      <c r="C44" s="33" t="s">
        <v>114</v>
      </c>
      <c r="D44" s="3"/>
      <c r="E44" s="3"/>
      <c r="F44" s="3"/>
      <c r="G44" s="3"/>
      <c r="H44" s="3"/>
      <c r="I44" s="3"/>
      <c r="J44" s="3"/>
      <c r="K44" s="4"/>
      <c r="L44" s="4"/>
      <c r="M44" s="4"/>
      <c r="N44" s="4"/>
    </row>
    <row r="45" customFormat="false" ht="23.25" hidden="false" customHeight="true" outlineLevel="0" collapsed="false">
      <c r="A45" s="18" t="s">
        <v>115</v>
      </c>
      <c r="B45" s="32" t="n">
        <v>250</v>
      </c>
      <c r="C45" s="33" t="s">
        <v>116</v>
      </c>
      <c r="D45" s="3"/>
      <c r="E45" s="3"/>
      <c r="F45" s="3"/>
      <c r="G45" s="3"/>
      <c r="H45" s="3"/>
      <c r="I45" s="3"/>
      <c r="J45" s="3"/>
      <c r="K45" s="4"/>
      <c r="L45" s="4"/>
      <c r="M45" s="4"/>
      <c r="N45" s="4"/>
    </row>
    <row r="46" customFormat="false" ht="23.25" hidden="false" customHeight="true" outlineLevel="0" collapsed="false">
      <c r="A46" s="18" t="s">
        <v>117</v>
      </c>
      <c r="B46" s="34" t="s">
        <v>118</v>
      </c>
      <c r="C46" s="33" t="s">
        <v>119</v>
      </c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8.75" hidden="false" customHeight="true" outlineLevel="0" collapsed="false">
      <c r="A48" s="7" t="s">
        <v>120</v>
      </c>
      <c r="B48" s="7"/>
      <c r="C48" s="7"/>
      <c r="D48" s="7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8" t="s">
        <v>58</v>
      </c>
      <c r="B49" s="17" t="s">
        <v>59</v>
      </c>
      <c r="C49" s="9" t="s">
        <v>29</v>
      </c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18" t="s">
        <v>121</v>
      </c>
      <c r="B50" s="32" t="n">
        <v>1200</v>
      </c>
      <c r="C50" s="33" t="s">
        <v>122</v>
      </c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23.25" hidden="false" customHeight="true" outlineLevel="0" collapsed="false">
      <c r="A51" s="18" t="s">
        <v>34</v>
      </c>
      <c r="B51" s="32" t="n">
        <v>200</v>
      </c>
      <c r="C51" s="33" t="s">
        <v>123</v>
      </c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23.25" hidden="false" customHeight="true" outlineLevel="0" collapsed="false">
      <c r="A52" s="18" t="s">
        <v>36</v>
      </c>
      <c r="B52" s="32" t="n">
        <v>200</v>
      </c>
      <c r="C52" s="33" t="s">
        <v>124</v>
      </c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23.25" hidden="false" customHeight="true" outlineLevel="0" collapsed="false">
      <c r="A53" s="18" t="s">
        <v>38</v>
      </c>
      <c r="B53" s="32" t="n">
        <v>185</v>
      </c>
      <c r="C53" s="33" t="s">
        <v>125</v>
      </c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23.25" hidden="false" customHeight="true" outlineLevel="0" collapsed="false">
      <c r="A54" s="18" t="s">
        <v>40</v>
      </c>
      <c r="B54" s="32" t="n">
        <v>950</v>
      </c>
      <c r="C54" s="33" t="s">
        <v>126</v>
      </c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23.25" hidden="false" customHeight="true" outlineLevel="0" collapsed="false">
      <c r="A55" s="18" t="s">
        <v>127</v>
      </c>
      <c r="B55" s="34" t="s">
        <v>128</v>
      </c>
      <c r="C55" s="33" t="s">
        <v>129</v>
      </c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23.25" hidden="false" customHeight="true" outlineLevel="0" collapsed="false">
      <c r="A56" s="18" t="s">
        <v>130</v>
      </c>
      <c r="B56" s="34" t="s">
        <v>131</v>
      </c>
      <c r="C56" s="33" t="s">
        <v>132</v>
      </c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8">
    <mergeCell ref="A1:D1"/>
    <mergeCell ref="A2:D2"/>
    <mergeCell ref="A4:D4"/>
    <mergeCell ref="A20:D20"/>
    <mergeCell ref="A28:D28"/>
    <mergeCell ref="A35:D35"/>
    <mergeCell ref="A42:D42"/>
    <mergeCell ref="A48:D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2" t="s">
        <v>133</v>
      </c>
      <c r="B1" s="2"/>
      <c r="C1" s="2"/>
      <c r="D1" s="2"/>
      <c r="E1" s="2"/>
      <c r="F1" s="2"/>
      <c r="G1" s="2"/>
      <c r="H1" s="3"/>
      <c r="I1" s="3"/>
      <c r="J1" s="3"/>
      <c r="K1" s="4"/>
      <c r="L1" s="4"/>
      <c r="M1" s="4"/>
      <c r="N1" s="4"/>
    </row>
    <row r="2" customFormat="false" ht="30" hidden="false" customHeight="true" outlineLevel="0" collapsed="false">
      <c r="A2" s="5" t="s">
        <v>134</v>
      </c>
      <c r="B2" s="5"/>
      <c r="C2" s="5"/>
      <c r="D2" s="5"/>
      <c r="E2" s="5"/>
      <c r="F2" s="5"/>
      <c r="G2" s="5"/>
      <c r="H2" s="3"/>
      <c r="I2" s="3"/>
      <c r="J2" s="3"/>
      <c r="K2" s="4"/>
      <c r="L2" s="4"/>
      <c r="M2" s="4"/>
      <c r="N2" s="4"/>
    </row>
    <row r="3" customFormat="false" ht="15" hidden="false" customHeight="true" outlineLevel="0" collapsed="false">
      <c r="A3" s="6"/>
      <c r="B3" s="3"/>
      <c r="C3" s="3"/>
      <c r="D3" s="3"/>
      <c r="E3" s="3"/>
      <c r="F3" s="3"/>
      <c r="G3" s="3"/>
      <c r="H3" s="3"/>
      <c r="I3" s="3"/>
      <c r="J3" s="3"/>
      <c r="K3" s="4"/>
      <c r="L3" s="4"/>
      <c r="M3" s="4"/>
      <c r="N3" s="4"/>
    </row>
    <row r="4" customFormat="false" ht="23.25" hidden="false" customHeight="true" outlineLevel="0" collapsed="false">
      <c r="A4" s="8" t="s">
        <v>135</v>
      </c>
      <c r="B4" s="17" t="s">
        <v>136</v>
      </c>
      <c r="C4" s="17" t="s">
        <v>137</v>
      </c>
      <c r="D4" s="9" t="s">
        <v>138</v>
      </c>
      <c r="E4" s="3"/>
      <c r="F4" s="8" t="s">
        <v>139</v>
      </c>
      <c r="G4" s="9" t="s">
        <v>82</v>
      </c>
      <c r="H4" s="3"/>
      <c r="I4" s="3"/>
      <c r="J4" s="3"/>
      <c r="K4" s="4"/>
      <c r="L4" s="4"/>
      <c r="M4" s="4"/>
      <c r="N4" s="4"/>
    </row>
    <row r="5" customFormat="false" ht="18.75" hidden="false" customHeight="true" outlineLevel="0" collapsed="false">
      <c r="A5" s="18" t="s">
        <v>140</v>
      </c>
      <c r="B5" s="35" t="n">
        <v>3488</v>
      </c>
      <c r="C5" s="35" t="n">
        <v>3511</v>
      </c>
      <c r="D5" s="35" t="n">
        <v>1603</v>
      </c>
      <c r="E5" s="3"/>
      <c r="F5" s="36" t="s">
        <v>141</v>
      </c>
      <c r="G5" s="35" t="n">
        <f aca="false">B20+B21-B19</f>
        <v>411</v>
      </c>
      <c r="H5" s="3"/>
      <c r="I5" s="3"/>
      <c r="J5" s="3"/>
      <c r="K5" s="4"/>
      <c r="L5" s="4"/>
      <c r="M5" s="4"/>
      <c r="N5" s="4"/>
    </row>
    <row r="6" customFormat="false" ht="18.75" hidden="false" customHeight="true" outlineLevel="0" collapsed="false">
      <c r="A6" s="18" t="s">
        <v>142</v>
      </c>
      <c r="B6" s="35" t="n">
        <v>526</v>
      </c>
      <c r="C6" s="35" t="n">
        <v>533</v>
      </c>
      <c r="D6" s="35" t="n">
        <v>146</v>
      </c>
      <c r="E6" s="3"/>
      <c r="F6" s="36" t="s">
        <v>143</v>
      </c>
      <c r="G6" s="35" t="n">
        <f aca="false">B22</f>
        <v>431</v>
      </c>
      <c r="H6" s="3"/>
      <c r="I6" s="3"/>
      <c r="J6" s="3"/>
      <c r="K6" s="4"/>
      <c r="L6" s="4"/>
      <c r="M6" s="4"/>
      <c r="N6" s="4"/>
    </row>
    <row r="7" customFormat="false" ht="18.75" hidden="false" customHeight="true" outlineLevel="0" collapsed="false">
      <c r="A7" s="18" t="s">
        <v>63</v>
      </c>
      <c r="B7" s="37" t="n">
        <v>0.150802752293578</v>
      </c>
      <c r="C7" s="37" t="n">
        <v>0.151808601538023</v>
      </c>
      <c r="D7" s="37" t="n">
        <v>0.0910792264504055</v>
      </c>
      <c r="E7" s="3"/>
      <c r="F7" s="36" t="s">
        <v>144</v>
      </c>
      <c r="G7" s="35" t="n">
        <f aca="false">C20+C21-C19</f>
        <v>574</v>
      </c>
      <c r="H7" s="3"/>
      <c r="I7" s="3"/>
      <c r="J7" s="3"/>
      <c r="K7" s="4"/>
      <c r="L7" s="4"/>
      <c r="M7" s="4"/>
      <c r="N7" s="4"/>
    </row>
    <row r="8" customFormat="false" ht="18.75" hidden="false" customHeight="true" outlineLevel="0" collapsed="false">
      <c r="A8" s="18" t="s">
        <v>145</v>
      </c>
      <c r="B8" s="35" t="n">
        <v>47</v>
      </c>
      <c r="C8" s="35" t="n">
        <v>48</v>
      </c>
      <c r="D8" s="38"/>
      <c r="E8" s="3"/>
      <c r="F8" s="36" t="s">
        <v>146</v>
      </c>
      <c r="G8" s="35" t="n">
        <f aca="false">C22</f>
        <v>566</v>
      </c>
      <c r="H8" s="3"/>
      <c r="I8" s="3"/>
      <c r="J8" s="3"/>
      <c r="K8" s="4"/>
      <c r="L8" s="4"/>
      <c r="M8" s="4"/>
      <c r="N8" s="4"/>
    </row>
    <row r="9" customFormat="false" ht="18.75" hidden="false" customHeight="true" outlineLevel="0" collapsed="false">
      <c r="A9" s="18" t="s">
        <v>147</v>
      </c>
      <c r="B9" s="35" t="n">
        <v>20</v>
      </c>
      <c r="C9" s="35" t="n">
        <v>21</v>
      </c>
      <c r="D9" s="38"/>
      <c r="E9" s="3"/>
      <c r="F9" s="36" t="s">
        <v>148</v>
      </c>
      <c r="G9" s="39" t="n">
        <f aca="false">G8-G7</f>
        <v>-8</v>
      </c>
      <c r="H9" s="3"/>
      <c r="I9" s="3"/>
      <c r="J9" s="3"/>
      <c r="K9" s="4"/>
      <c r="L9" s="4"/>
      <c r="M9" s="4"/>
      <c r="N9" s="4"/>
    </row>
    <row r="10" customFormat="false" ht="18.75" hidden="false" customHeight="true" outlineLevel="0" collapsed="false">
      <c r="A10" s="18" t="s">
        <v>149</v>
      </c>
      <c r="B10" s="35" t="n">
        <v>5</v>
      </c>
      <c r="C10" s="35" t="n">
        <v>5</v>
      </c>
      <c r="D10" s="38"/>
      <c r="E10" s="3"/>
      <c r="F10" s="36" t="s">
        <v>150</v>
      </c>
      <c r="G10" s="33" t="s">
        <v>151</v>
      </c>
      <c r="H10" s="3"/>
      <c r="I10" s="3"/>
      <c r="J10" s="3"/>
      <c r="K10" s="4"/>
      <c r="L10" s="4"/>
      <c r="M10" s="4"/>
      <c r="N10" s="4"/>
    </row>
    <row r="11" customFormat="false" ht="18.75" hidden="false" customHeight="true" outlineLevel="0" collapsed="false">
      <c r="A11" s="18" t="s">
        <v>152</v>
      </c>
      <c r="B11" s="35" t="n">
        <v>573</v>
      </c>
      <c r="C11" s="35" t="n">
        <v>581</v>
      </c>
      <c r="D11" s="38"/>
      <c r="E11" s="3"/>
      <c r="F11" s="3"/>
      <c r="G11" s="3"/>
      <c r="H11" s="3"/>
      <c r="I11" s="3"/>
      <c r="J11" s="3"/>
      <c r="K11" s="4"/>
      <c r="L11" s="4"/>
      <c r="M11" s="4"/>
      <c r="N11" s="4"/>
    </row>
    <row r="12" customFormat="false" ht="18.75" hidden="false" customHeight="true" outlineLevel="0" collapsed="false">
      <c r="A12" s="18" t="s">
        <v>153</v>
      </c>
      <c r="B12" s="35" t="n">
        <v>548</v>
      </c>
      <c r="C12" s="35" t="n">
        <v>555</v>
      </c>
      <c r="D12" s="35" t="n">
        <v>555</v>
      </c>
      <c r="E12" s="3"/>
      <c r="F12" s="3"/>
      <c r="G12" s="3"/>
      <c r="H12" s="3"/>
      <c r="I12" s="3"/>
      <c r="J12" s="3"/>
      <c r="K12" s="4"/>
      <c r="L12" s="4"/>
      <c r="M12" s="4"/>
      <c r="N12" s="4"/>
    </row>
    <row r="13" customFormat="false" ht="18.75" hidden="false" customHeight="true" outlineLevel="0" collapsed="false">
      <c r="A13" s="18" t="s">
        <v>154</v>
      </c>
      <c r="B13" s="35" t="n">
        <v>51</v>
      </c>
      <c r="C13" s="35" t="n">
        <v>59</v>
      </c>
      <c r="D13" s="35" t="n">
        <v>20</v>
      </c>
      <c r="E13" s="3"/>
      <c r="F13" s="3"/>
      <c r="G13" s="3"/>
      <c r="H13" s="3"/>
      <c r="I13" s="3"/>
      <c r="J13" s="3"/>
      <c r="K13" s="4"/>
      <c r="L13" s="4"/>
      <c r="M13" s="4"/>
      <c r="N13" s="4"/>
    </row>
    <row r="14" customFormat="false" ht="18.75" hidden="false" customHeight="true" outlineLevel="0" collapsed="false">
      <c r="A14" s="18" t="s">
        <v>155</v>
      </c>
      <c r="B14" s="35" t="n">
        <v>105</v>
      </c>
      <c r="C14" s="35" t="n">
        <v>62</v>
      </c>
      <c r="D14" s="35" t="n">
        <v>25</v>
      </c>
      <c r="E14" s="3"/>
      <c r="F14" s="3"/>
      <c r="G14" s="3"/>
      <c r="H14" s="3"/>
      <c r="I14" s="3"/>
      <c r="J14" s="3"/>
      <c r="K14" s="4"/>
      <c r="L14" s="4"/>
      <c r="M14" s="4"/>
      <c r="N14" s="4"/>
    </row>
    <row r="15" customFormat="false" ht="18.75" hidden="false" customHeight="true" outlineLevel="0" collapsed="false">
      <c r="A15" s="18" t="s">
        <v>156</v>
      </c>
      <c r="B15" s="35" t="n">
        <v>49</v>
      </c>
      <c r="C15" s="35" t="n">
        <v>54</v>
      </c>
      <c r="D15" s="35" t="n">
        <v>26</v>
      </c>
      <c r="E15" s="3"/>
      <c r="F15" s="3"/>
      <c r="G15" s="3"/>
      <c r="H15" s="3"/>
      <c r="I15" s="3"/>
      <c r="J15" s="3"/>
      <c r="K15" s="4"/>
      <c r="L15" s="4"/>
      <c r="M15" s="4"/>
      <c r="N15" s="4"/>
    </row>
    <row r="16" customFormat="false" ht="18.75" hidden="false" customHeight="true" outlineLevel="0" collapsed="false">
      <c r="A16" s="18" t="s">
        <v>157</v>
      </c>
      <c r="B16" s="35" t="n">
        <v>198</v>
      </c>
      <c r="C16" s="35" t="n">
        <v>187</v>
      </c>
      <c r="D16" s="35" t="n">
        <v>124</v>
      </c>
      <c r="E16" s="3"/>
      <c r="F16" s="3"/>
      <c r="G16" s="3"/>
      <c r="H16" s="3"/>
      <c r="I16" s="3"/>
      <c r="J16" s="3"/>
      <c r="K16" s="4"/>
      <c r="L16" s="4"/>
      <c r="M16" s="4"/>
      <c r="N16" s="4"/>
    </row>
    <row r="17" customFormat="false" ht="18.75" hidden="false" customHeight="true" outlineLevel="0" collapsed="false">
      <c r="A17" s="18" t="s">
        <v>158</v>
      </c>
      <c r="B17" s="35" t="n">
        <v>333</v>
      </c>
      <c r="C17" s="35" t="n">
        <v>202</v>
      </c>
      <c r="D17" s="35" t="n">
        <v>75</v>
      </c>
      <c r="E17" s="3"/>
      <c r="F17" s="3"/>
      <c r="G17" s="3"/>
      <c r="H17" s="3"/>
      <c r="I17" s="3"/>
      <c r="J17" s="3"/>
      <c r="K17" s="4"/>
      <c r="L17" s="4"/>
      <c r="M17" s="4"/>
      <c r="N17" s="4"/>
    </row>
    <row r="18" customFormat="false" ht="18.75" hidden="false" customHeight="true" outlineLevel="0" collapsed="false">
      <c r="A18" s="18" t="s">
        <v>159</v>
      </c>
      <c r="B18" s="35" t="n">
        <v>325</v>
      </c>
      <c r="C18" s="35" t="n">
        <v>187</v>
      </c>
      <c r="D18" s="35" t="n">
        <v>40</v>
      </c>
      <c r="E18" s="3"/>
      <c r="F18" s="3"/>
      <c r="G18" s="3"/>
      <c r="H18" s="3"/>
      <c r="I18" s="3"/>
      <c r="J18" s="3"/>
      <c r="K18" s="4"/>
      <c r="L18" s="4"/>
      <c r="M18" s="4"/>
      <c r="N18" s="4"/>
    </row>
    <row r="19" customFormat="false" ht="18.75" hidden="false" customHeight="true" outlineLevel="0" collapsed="false">
      <c r="A19" s="18" t="s">
        <v>160</v>
      </c>
      <c r="B19" s="35" t="n">
        <v>427</v>
      </c>
      <c r="C19" s="35" t="n">
        <v>302</v>
      </c>
      <c r="D19" s="35" t="n">
        <v>264</v>
      </c>
      <c r="E19" s="3"/>
      <c r="F19" s="3"/>
      <c r="G19" s="3"/>
      <c r="H19" s="3"/>
      <c r="I19" s="3"/>
      <c r="J19" s="3"/>
      <c r="K19" s="4"/>
      <c r="L19" s="4"/>
      <c r="M19" s="4"/>
      <c r="N19" s="4"/>
    </row>
    <row r="20" customFormat="false" ht="18.75" hidden="false" customHeight="true" outlineLevel="0" collapsed="false">
      <c r="A20" s="18" t="s">
        <v>161</v>
      </c>
      <c r="B20" s="35" t="n">
        <v>733</v>
      </c>
      <c r="C20" s="35" t="n">
        <v>765</v>
      </c>
      <c r="D20" s="35" t="n">
        <v>807</v>
      </c>
      <c r="E20" s="3"/>
      <c r="F20" s="3"/>
      <c r="G20" s="3"/>
      <c r="H20" s="3"/>
      <c r="I20" s="3"/>
      <c r="J20" s="3"/>
      <c r="K20" s="4"/>
      <c r="L20" s="4"/>
      <c r="M20" s="4"/>
      <c r="N20" s="4"/>
    </row>
    <row r="21" customFormat="false" ht="18.75" hidden="false" customHeight="true" outlineLevel="0" collapsed="false">
      <c r="A21" s="18" t="s">
        <v>162</v>
      </c>
      <c r="B21" s="35" t="n">
        <v>105</v>
      </c>
      <c r="C21" s="35" t="n">
        <v>111</v>
      </c>
      <c r="D21" s="35" t="n">
        <v>109</v>
      </c>
      <c r="E21" s="3"/>
      <c r="F21" s="3"/>
      <c r="G21" s="3"/>
      <c r="H21" s="3"/>
      <c r="I21" s="3"/>
      <c r="J21" s="3"/>
      <c r="K21" s="4"/>
      <c r="L21" s="4"/>
      <c r="M21" s="4"/>
      <c r="N21" s="4"/>
    </row>
    <row r="22" customFormat="false" ht="18.75" hidden="false" customHeight="true" outlineLevel="0" collapsed="false">
      <c r="A22" s="18" t="s">
        <v>163</v>
      </c>
      <c r="B22" s="35" t="n">
        <v>431</v>
      </c>
      <c r="C22" s="35" t="n">
        <v>566</v>
      </c>
      <c r="D22" s="35" t="n">
        <v>652</v>
      </c>
      <c r="E22" s="3"/>
      <c r="F22" s="3"/>
      <c r="G22" s="3"/>
      <c r="H22" s="3"/>
      <c r="I22" s="3"/>
      <c r="J22" s="3"/>
      <c r="K22" s="4"/>
      <c r="L22" s="4"/>
      <c r="M22" s="4"/>
      <c r="N22" s="4"/>
    </row>
    <row r="23" customFormat="false" ht="15" hidden="false" customHeight="true" outlineLevel="0" collapsed="false">
      <c r="A23" s="10" t="s">
        <v>164</v>
      </c>
      <c r="B23" s="40" t="n">
        <v>314</v>
      </c>
      <c r="C23" s="40" t="n">
        <v>477</v>
      </c>
      <c r="D23" s="40" t="n">
        <v>574</v>
      </c>
      <c r="E23" s="3"/>
      <c r="F23" s="3"/>
      <c r="G23" s="3"/>
      <c r="H23" s="3"/>
      <c r="I23" s="3"/>
      <c r="J23" s="3"/>
      <c r="K23" s="4"/>
      <c r="L23" s="4"/>
      <c r="M23" s="4"/>
      <c r="N23" s="4"/>
    </row>
    <row r="24" customFormat="false" ht="15" hidden="false" customHeight="true" outlineLevel="0" collapsed="false">
      <c r="A24" s="10" t="s">
        <v>165</v>
      </c>
      <c r="B24" s="41" t="n">
        <v>0.8</v>
      </c>
      <c r="C24" s="41" t="n">
        <v>1</v>
      </c>
      <c r="D24" s="41" t="n">
        <v>1</v>
      </c>
      <c r="E24" s="3"/>
      <c r="F24" s="3"/>
      <c r="G24" s="3"/>
      <c r="H24" s="3"/>
      <c r="I24" s="3"/>
      <c r="J24" s="3"/>
      <c r="K24" s="4"/>
      <c r="L24" s="4"/>
      <c r="M24" s="4"/>
      <c r="N24" s="4"/>
    </row>
    <row r="25" customFormat="false" ht="15" hidden="false" customHeight="true" outlineLevel="0" collapsed="false">
      <c r="A25" s="10" t="s">
        <v>166</v>
      </c>
      <c r="B25" s="41" t="n">
        <v>0.6</v>
      </c>
      <c r="C25" s="41" t="n">
        <v>0.9</v>
      </c>
      <c r="D25" s="41" t="n">
        <v>1</v>
      </c>
      <c r="E25" s="3"/>
      <c r="F25" s="3"/>
      <c r="G25" s="3"/>
      <c r="H25" s="3"/>
      <c r="I25" s="3"/>
      <c r="J25" s="3"/>
      <c r="K25" s="4"/>
      <c r="L25" s="4"/>
      <c r="M25" s="4"/>
      <c r="N25" s="4"/>
    </row>
    <row r="26" customFormat="false" ht="15" hidden="false" customHeight="true" outlineLevel="0" collapsed="false">
      <c r="A26" s="6"/>
      <c r="B26" s="3"/>
      <c r="C26" s="3"/>
      <c r="D26" s="3"/>
      <c r="E26" s="3"/>
      <c r="F26" s="3"/>
      <c r="G26" s="3"/>
      <c r="H26" s="3"/>
      <c r="I26" s="3"/>
      <c r="J26" s="3"/>
      <c r="K26" s="4"/>
      <c r="L26" s="4"/>
      <c r="M26" s="4"/>
      <c r="N26" s="4"/>
    </row>
    <row r="27" customFormat="false" ht="15" hidden="false" customHeight="true" outlineLevel="0" collapsed="false">
      <c r="A27" s="6"/>
      <c r="B27" s="3"/>
      <c r="C27" s="3"/>
      <c r="D27" s="3"/>
      <c r="E27" s="3"/>
      <c r="F27" s="3"/>
      <c r="G27" s="3"/>
      <c r="H27" s="3"/>
      <c r="I27" s="3"/>
      <c r="J27" s="3"/>
      <c r="K27" s="4"/>
      <c r="L27" s="4"/>
      <c r="M27" s="4"/>
      <c r="N27" s="4"/>
    </row>
    <row r="28" customFormat="false" ht="15" hidden="false" customHeight="true" outlineLevel="0" collapsed="false">
      <c r="A28" s="6"/>
      <c r="B28" s="3"/>
      <c r="C28" s="3"/>
      <c r="D28" s="3"/>
      <c r="E28" s="3"/>
      <c r="F28" s="3"/>
      <c r="G28" s="3"/>
      <c r="H28" s="3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6"/>
      <c r="B29" s="3"/>
      <c r="C29" s="3"/>
      <c r="D29" s="3"/>
      <c r="E29" s="3"/>
      <c r="F29" s="3"/>
      <c r="G29" s="3"/>
      <c r="H29" s="3"/>
      <c r="I29" s="3"/>
      <c r="J29" s="3"/>
      <c r="K29" s="4"/>
      <c r="L29" s="4"/>
      <c r="M29" s="4"/>
      <c r="N29" s="4"/>
    </row>
    <row r="30" customFormat="false" ht="15" hidden="false" customHeight="true" outlineLevel="0" collapsed="false">
      <c r="A30" s="6"/>
      <c r="B30" s="3"/>
      <c r="C30" s="3"/>
      <c r="D30" s="3"/>
      <c r="E30" s="3"/>
      <c r="F30" s="3"/>
      <c r="G30" s="3"/>
      <c r="H30" s="3"/>
      <c r="I30" s="3"/>
      <c r="J30" s="3"/>
      <c r="K30" s="4"/>
      <c r="L30" s="4"/>
      <c r="M30" s="4"/>
      <c r="N30" s="4"/>
    </row>
    <row r="31" customFormat="false" ht="15" hidden="false" customHeight="true" outlineLevel="0" collapsed="false">
      <c r="A31" s="6"/>
      <c r="B31" s="3"/>
      <c r="C31" s="3"/>
      <c r="D31" s="3"/>
      <c r="E31" s="3"/>
      <c r="F31" s="3"/>
      <c r="G31" s="3"/>
      <c r="H31" s="3"/>
      <c r="I31" s="3"/>
      <c r="J31" s="3"/>
      <c r="K31" s="4"/>
      <c r="L31" s="4"/>
      <c r="M31" s="4"/>
      <c r="N31" s="4"/>
    </row>
    <row r="32" customFormat="false" ht="15" hidden="false" customHeight="true" outlineLevel="0" collapsed="false">
      <c r="A32" s="6"/>
      <c r="B32" s="3"/>
      <c r="C32" s="3"/>
      <c r="D32" s="3"/>
      <c r="E32" s="3"/>
      <c r="F32" s="3"/>
      <c r="G32" s="3"/>
      <c r="H32" s="3"/>
      <c r="I32" s="3"/>
      <c r="J32" s="3"/>
      <c r="K32" s="4"/>
      <c r="L32" s="4"/>
      <c r="M32" s="4"/>
      <c r="N32" s="4"/>
    </row>
    <row r="33" customFormat="false" ht="15" hidden="false" customHeight="true" outlineLevel="0" collapsed="false">
      <c r="A33" s="6"/>
      <c r="B33" s="3"/>
      <c r="C33" s="3"/>
      <c r="D33" s="3"/>
      <c r="E33" s="3"/>
      <c r="F33" s="3"/>
      <c r="G33" s="3"/>
      <c r="H33" s="3"/>
      <c r="I33" s="3"/>
      <c r="J33" s="3"/>
      <c r="K33" s="4"/>
      <c r="L33" s="4"/>
      <c r="M33" s="4"/>
      <c r="N33" s="4"/>
    </row>
    <row r="34" customFormat="false" ht="15" hidden="false" customHeight="true" outlineLevel="0" collapsed="false">
      <c r="A34" s="6"/>
      <c r="B34" s="3"/>
      <c r="C34" s="3"/>
      <c r="D34" s="3"/>
      <c r="E34" s="3"/>
      <c r="F34" s="3"/>
      <c r="G34" s="3"/>
      <c r="H34" s="3"/>
      <c r="I34" s="3"/>
      <c r="J34" s="3"/>
      <c r="K34" s="4"/>
      <c r="L34" s="4"/>
      <c r="M34" s="4"/>
      <c r="N34" s="4"/>
    </row>
    <row r="35" customFormat="false" ht="15" hidden="false" customHeight="true" outlineLevel="0" collapsed="false">
      <c r="A35" s="6"/>
      <c r="B35" s="3"/>
      <c r="C35" s="3"/>
      <c r="D35" s="3"/>
      <c r="E35" s="3"/>
      <c r="F35" s="3"/>
      <c r="G35" s="3"/>
      <c r="H35" s="3"/>
      <c r="I35" s="3"/>
      <c r="J35" s="3"/>
      <c r="K35" s="4"/>
      <c r="L35" s="4"/>
      <c r="M35" s="4"/>
      <c r="N35" s="4"/>
    </row>
    <row r="36" customFormat="false" ht="15" hidden="false" customHeight="true" outlineLevel="0" collapsed="false">
      <c r="A36" s="6"/>
      <c r="B36" s="3"/>
      <c r="C36" s="3"/>
      <c r="D36" s="3"/>
      <c r="E36" s="3"/>
      <c r="F36" s="3"/>
      <c r="G36" s="3"/>
      <c r="H36" s="3"/>
      <c r="I36" s="3"/>
      <c r="J36" s="3"/>
      <c r="K36" s="4"/>
      <c r="L36" s="4"/>
      <c r="M36" s="4"/>
      <c r="N36" s="4"/>
    </row>
    <row r="37" customFormat="false" ht="15" hidden="false" customHeight="true" outlineLevel="0" collapsed="false">
      <c r="A37" s="6"/>
      <c r="B37" s="3"/>
      <c r="C37" s="3"/>
      <c r="D37" s="3"/>
      <c r="E37" s="3"/>
      <c r="F37" s="3"/>
      <c r="G37" s="3"/>
      <c r="H37" s="3"/>
      <c r="I37" s="3"/>
      <c r="J37" s="3"/>
      <c r="K37" s="4"/>
      <c r="L37" s="4"/>
      <c r="M37" s="4"/>
      <c r="N37" s="4"/>
    </row>
    <row r="38" customFormat="false" ht="15" hidden="false" customHeight="true" outlineLevel="0" collapsed="false">
      <c r="A38" s="6"/>
      <c r="B38" s="3"/>
      <c r="C38" s="3"/>
      <c r="D38" s="3"/>
      <c r="E38" s="3"/>
      <c r="F38" s="3"/>
      <c r="G38" s="3"/>
      <c r="H38" s="3"/>
      <c r="I38" s="3"/>
      <c r="J38" s="3"/>
      <c r="K38" s="4"/>
      <c r="L38" s="4"/>
      <c r="M38" s="4"/>
      <c r="N38" s="4"/>
    </row>
    <row r="39" customFormat="false" ht="15" hidden="false" customHeight="true" outlineLevel="0" collapsed="false">
      <c r="A39" s="6"/>
      <c r="B39" s="3"/>
      <c r="C39" s="3"/>
      <c r="D39" s="3"/>
      <c r="E39" s="3"/>
      <c r="F39" s="3"/>
      <c r="G39" s="3"/>
      <c r="H39" s="3"/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6"/>
      <c r="B40" s="3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6"/>
      <c r="B41" s="3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4"/>
    </row>
    <row r="42" customFormat="false" ht="15" hidden="false" customHeight="true" outlineLevel="0" collapsed="false">
      <c r="A42" s="6"/>
      <c r="B42" s="3"/>
      <c r="C42" s="3"/>
      <c r="D42" s="3"/>
      <c r="E42" s="3"/>
      <c r="F42" s="3"/>
      <c r="G42" s="3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6"/>
      <c r="B43" s="3"/>
      <c r="C43" s="3"/>
      <c r="D43" s="3"/>
      <c r="E43" s="3"/>
      <c r="F43" s="3"/>
      <c r="G43" s="3"/>
      <c r="H43" s="3"/>
      <c r="I43" s="3"/>
      <c r="J43" s="3"/>
      <c r="K43" s="4"/>
      <c r="L43" s="4"/>
      <c r="M43" s="4"/>
      <c r="N43" s="4"/>
    </row>
    <row r="44" customFormat="false" ht="15" hidden="false" customHeight="true" outlineLevel="0" collapsed="false">
      <c r="A44" s="6"/>
      <c r="B44" s="3"/>
      <c r="C44" s="3"/>
      <c r="D44" s="3"/>
      <c r="E44" s="3"/>
      <c r="F44" s="3"/>
      <c r="G44" s="3"/>
      <c r="H44" s="3"/>
      <c r="I44" s="3"/>
      <c r="J44" s="3"/>
      <c r="K44" s="4"/>
      <c r="L44" s="4"/>
      <c r="M44" s="4"/>
      <c r="N44" s="4"/>
    </row>
    <row r="45" customFormat="false" ht="15" hidden="false" customHeight="true" outlineLevel="0" collapsed="false">
      <c r="A45" s="6"/>
      <c r="B45" s="3"/>
      <c r="C45" s="3"/>
      <c r="D45" s="3"/>
      <c r="E45" s="3"/>
      <c r="F45" s="3"/>
      <c r="G45" s="3"/>
      <c r="H45" s="3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7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18" hidden="false" customHeight="true" outlineLevel="0" collapsed="false">
      <c r="A1" s="2" t="s">
        <v>167</v>
      </c>
      <c r="B1" s="2"/>
      <c r="C1" s="2"/>
      <c r="D1" s="2"/>
      <c r="E1" s="2"/>
      <c r="F1" s="2"/>
      <c r="G1" s="2"/>
      <c r="H1" s="2"/>
      <c r="I1" s="3"/>
      <c r="J1" s="3"/>
      <c r="K1" s="4"/>
      <c r="L1" s="4"/>
      <c r="M1" s="4"/>
      <c r="N1" s="4"/>
    </row>
    <row r="2" customFormat="false" ht="18" hidden="false" customHeight="true" outlineLevel="0" collapsed="false">
      <c r="A2" s="5" t="s">
        <v>168</v>
      </c>
      <c r="B2" s="5"/>
      <c r="C2" s="5"/>
      <c r="D2" s="5"/>
      <c r="E2" s="5"/>
      <c r="F2" s="5"/>
      <c r="G2" s="5"/>
      <c r="H2" s="5"/>
      <c r="I2" s="3"/>
      <c r="J2" s="3"/>
      <c r="K2" s="4"/>
      <c r="L2" s="4"/>
      <c r="M2" s="4"/>
      <c r="N2" s="4"/>
    </row>
    <row r="3" customFormat="false" ht="18" hidden="false" customHeight="true" outlineLevel="0" collapsed="false">
      <c r="A3" s="6"/>
      <c r="B3" s="3"/>
      <c r="C3" s="3"/>
      <c r="D3" s="3"/>
      <c r="E3" s="3"/>
      <c r="F3" s="3"/>
      <c r="G3" s="3"/>
      <c r="H3" s="3"/>
      <c r="I3" s="3"/>
      <c r="J3" s="3"/>
      <c r="K3" s="4"/>
      <c r="L3" s="4"/>
      <c r="M3" s="4"/>
      <c r="N3" s="4"/>
    </row>
    <row r="4" customFormat="false" ht="18" hidden="false" customHeight="true" outlineLevel="0" collapsed="false">
      <c r="A4" s="8" t="s">
        <v>135</v>
      </c>
      <c r="B4" s="17" t="s">
        <v>169</v>
      </c>
      <c r="C4" s="17" t="s">
        <v>170</v>
      </c>
      <c r="D4" s="17" t="s">
        <v>138</v>
      </c>
      <c r="E4" s="17" t="s">
        <v>171</v>
      </c>
      <c r="F4" s="17" t="s">
        <v>172</v>
      </c>
      <c r="G4" s="17" t="s">
        <v>173</v>
      </c>
      <c r="H4" s="9" t="s">
        <v>174</v>
      </c>
      <c r="I4" s="3"/>
      <c r="J4" s="3"/>
      <c r="K4" s="4"/>
      <c r="L4" s="4"/>
      <c r="M4" s="4"/>
      <c r="N4" s="4"/>
    </row>
    <row r="5" customFormat="false" ht="18" hidden="false" customHeight="true" outlineLevel="0" collapsed="false">
      <c r="A5" s="6"/>
      <c r="B5" s="3"/>
      <c r="C5" s="3"/>
      <c r="D5" s="3"/>
      <c r="E5" s="3"/>
      <c r="F5" s="3"/>
      <c r="G5" s="3"/>
      <c r="H5" s="3"/>
      <c r="I5" s="3"/>
      <c r="J5" s="3"/>
      <c r="K5" s="4"/>
      <c r="L5" s="4"/>
      <c r="M5" s="4"/>
      <c r="N5" s="4"/>
    </row>
    <row r="6" customFormat="false" ht="18" hidden="false" customHeight="true" outlineLevel="0" collapsed="false">
      <c r="A6" s="7" t="s">
        <v>175</v>
      </c>
      <c r="B6" s="7"/>
      <c r="C6" s="7"/>
      <c r="D6" s="7"/>
      <c r="E6" s="7"/>
      <c r="F6" s="7"/>
      <c r="G6" s="7"/>
      <c r="H6" s="7"/>
      <c r="I6" s="3"/>
      <c r="J6" s="3"/>
      <c r="K6" s="4"/>
      <c r="L6" s="4"/>
      <c r="M6" s="4"/>
      <c r="N6" s="4"/>
    </row>
    <row r="7" customFormat="false" ht="18" hidden="false" customHeight="true" outlineLevel="0" collapsed="false">
      <c r="A7" s="18" t="s">
        <v>176</v>
      </c>
      <c r="B7" s="11" t="n">
        <f aca="false">Historicals!B5</f>
        <v>3488</v>
      </c>
      <c r="C7" s="11" t="n">
        <f aca="false">Historicals!C5</f>
        <v>3511</v>
      </c>
      <c r="D7" s="11" t="n">
        <f aca="false">Historicals!D5</f>
        <v>1603</v>
      </c>
      <c r="E7" s="35" t="n">
        <f aca="false">F7-D7</f>
        <v>1943.11</v>
      </c>
      <c r="F7" s="11" t="n">
        <f aca="false">C7*(1+Assumptions!B6)</f>
        <v>3546.11</v>
      </c>
      <c r="G7" s="11" t="n">
        <f aca="false">F7*(1+Assumptions!B6)</f>
        <v>3581.5711</v>
      </c>
      <c r="H7" s="11" t="n">
        <f aca="false">G7*(1+Assumptions!B6)</f>
        <v>3617.386811</v>
      </c>
      <c r="I7" s="3"/>
      <c r="J7" s="3"/>
      <c r="K7" s="4"/>
      <c r="L7" s="4"/>
      <c r="M7" s="4"/>
      <c r="N7" s="4"/>
    </row>
    <row r="8" customFormat="false" ht="18" hidden="false" customHeight="true" outlineLevel="0" collapsed="false">
      <c r="A8" s="18" t="s">
        <v>61</v>
      </c>
      <c r="B8" s="37" t="n">
        <f aca="false">0</f>
        <v>0</v>
      </c>
      <c r="C8" s="37" t="n">
        <f aca="false">C7/B7-1</f>
        <v>0.00659403669724767</v>
      </c>
      <c r="D8" s="42"/>
      <c r="E8" s="42"/>
      <c r="F8" s="37" t="n">
        <f aca="false">F7/C7-1</f>
        <v>0.01</v>
      </c>
      <c r="G8" s="37" t="n">
        <f aca="false">G7/F7-1</f>
        <v>0.01</v>
      </c>
      <c r="H8" s="37" t="n">
        <f aca="false">H7/G7-1</f>
        <v>0.01</v>
      </c>
      <c r="I8" s="3"/>
      <c r="J8" s="3"/>
      <c r="K8" s="4"/>
      <c r="L8" s="4"/>
      <c r="M8" s="4"/>
      <c r="N8" s="4"/>
    </row>
    <row r="9" customFormat="false" ht="18" hidden="false" customHeight="true" outlineLevel="0" collapsed="false">
      <c r="A9" s="18" t="s">
        <v>177</v>
      </c>
      <c r="B9" s="11" t="n">
        <f aca="false">Historicals!B6</f>
        <v>526</v>
      </c>
      <c r="C9" s="11" t="n">
        <f aca="false">Historicals!C6</f>
        <v>533</v>
      </c>
      <c r="D9" s="11" t="n">
        <f aca="false">Historicals!D6</f>
        <v>146</v>
      </c>
      <c r="E9" s="35" t="n">
        <f aca="false">F9-D9</f>
        <v>393.00872</v>
      </c>
      <c r="F9" s="11" t="n">
        <f aca="false">F7*Assumptions!B7</f>
        <v>539.00872</v>
      </c>
      <c r="G9" s="11" t="n">
        <f aca="false">G7*Assumptions!B7</f>
        <v>544.3988072</v>
      </c>
      <c r="H9" s="11" t="n">
        <f aca="false">H7*Assumptions!B7</f>
        <v>549.842795272</v>
      </c>
      <c r="I9" s="3"/>
      <c r="J9" s="3"/>
      <c r="K9" s="4"/>
      <c r="L9" s="4"/>
      <c r="M9" s="4"/>
      <c r="N9" s="4"/>
    </row>
    <row r="10" customFormat="false" ht="18" hidden="false" customHeight="true" outlineLevel="0" collapsed="false">
      <c r="A10" s="18" t="s">
        <v>63</v>
      </c>
      <c r="B10" s="43" t="n">
        <f aca="false">Historicals!B7</f>
        <v>0.150802752293578</v>
      </c>
      <c r="C10" s="43" t="n">
        <f aca="false">Historicals!C7</f>
        <v>0.151808601538023</v>
      </c>
      <c r="D10" s="43" t="n">
        <f aca="false">Historicals!D7</f>
        <v>0.0910792264504055</v>
      </c>
      <c r="E10" s="37" t="n">
        <f aca="false">E9/E7</f>
        <v>0.202257576771258</v>
      </c>
      <c r="F10" s="43" t="n">
        <f aca="false">Assumptions!B7</f>
        <v>0.152</v>
      </c>
      <c r="G10" s="43" t="n">
        <f aca="false">Assumptions!B7</f>
        <v>0.152</v>
      </c>
      <c r="H10" s="43" t="n">
        <f aca="false">Assumptions!B7</f>
        <v>0.152</v>
      </c>
      <c r="I10" s="3"/>
      <c r="J10" s="3"/>
      <c r="K10" s="4"/>
      <c r="L10" s="4"/>
      <c r="M10" s="4"/>
      <c r="N10" s="4"/>
    </row>
    <row r="11" customFormat="false" ht="18" hidden="false" customHeight="true" outlineLevel="0" collapsed="false">
      <c r="A11" s="18" t="s">
        <v>65</v>
      </c>
      <c r="B11" s="11" t="n">
        <f aca="false">Historicals!B8</f>
        <v>47</v>
      </c>
      <c r="C11" s="11" t="n">
        <f aca="false">Historicals!C8</f>
        <v>48</v>
      </c>
      <c r="D11" s="11" t="n">
        <f aca="false">Historicals!D8</f>
        <v>0</v>
      </c>
      <c r="E11" s="35" t="n">
        <f aca="false">F11/2</f>
        <v>24</v>
      </c>
      <c r="F11" s="11" t="n">
        <f aca="false">Assumptions!B8</f>
        <v>48</v>
      </c>
      <c r="G11" s="11" t="n">
        <f aca="false">Assumptions!B8</f>
        <v>48</v>
      </c>
      <c r="H11" s="11" t="n">
        <f aca="false">Assumptions!B8</f>
        <v>48</v>
      </c>
      <c r="I11" s="3"/>
      <c r="J11" s="3"/>
      <c r="K11" s="4"/>
      <c r="L11" s="4"/>
      <c r="M11" s="4"/>
      <c r="N11" s="4"/>
    </row>
    <row r="12" customFormat="false" ht="18" hidden="false" customHeight="true" outlineLevel="0" collapsed="false">
      <c r="A12" s="18" t="s">
        <v>178</v>
      </c>
      <c r="B12" s="11" t="n">
        <f aca="false">Historicals!B11</f>
        <v>573</v>
      </c>
      <c r="C12" s="11" t="n">
        <f aca="false">Historicals!C11</f>
        <v>581</v>
      </c>
      <c r="D12" s="44"/>
      <c r="E12" s="35" t="n">
        <f aca="false">E9+E11</f>
        <v>417.00872</v>
      </c>
      <c r="F12" s="35" t="n">
        <f aca="false">F9+F11</f>
        <v>587.00872</v>
      </c>
      <c r="G12" s="35" t="n">
        <f aca="false">G9+G11</f>
        <v>592.3988072</v>
      </c>
      <c r="H12" s="35" t="n">
        <f aca="false">H9+H11</f>
        <v>597.842795272</v>
      </c>
      <c r="I12" s="3"/>
      <c r="J12" s="3"/>
      <c r="K12" s="4"/>
      <c r="L12" s="4"/>
      <c r="M12" s="4"/>
      <c r="N12" s="4"/>
    </row>
    <row r="13" customFormat="false" ht="18" hidden="false" customHeight="true" outlineLevel="0" collapsed="false">
      <c r="A13" s="18" t="s">
        <v>67</v>
      </c>
      <c r="B13" s="11" t="n">
        <f aca="false">Historicals!B9</f>
        <v>20</v>
      </c>
      <c r="C13" s="11" t="n">
        <f aca="false">Historicals!C9</f>
        <v>21</v>
      </c>
      <c r="D13" s="11" t="n">
        <f aca="false">Historicals!D9</f>
        <v>0</v>
      </c>
      <c r="E13" s="44"/>
      <c r="F13" s="11" t="n">
        <f aca="false">Assumptions!B9</f>
        <v>21</v>
      </c>
      <c r="G13" s="11" t="n">
        <f aca="false">Assumptions!B9</f>
        <v>21</v>
      </c>
      <c r="H13" s="11" t="n">
        <f aca="false">Assumptions!B9</f>
        <v>21</v>
      </c>
      <c r="I13" s="3"/>
      <c r="J13" s="3"/>
      <c r="K13" s="4"/>
      <c r="L13" s="4"/>
      <c r="M13" s="4"/>
      <c r="N13" s="4"/>
    </row>
    <row r="14" customFormat="false" ht="18" hidden="false" customHeight="true" outlineLevel="0" collapsed="false">
      <c r="A14" s="18" t="s">
        <v>179</v>
      </c>
      <c r="B14" s="11" t="n">
        <f aca="false">Historicals!B10</f>
        <v>5</v>
      </c>
      <c r="C14" s="11" t="n">
        <f aca="false">Historicals!C10</f>
        <v>5</v>
      </c>
      <c r="D14" s="11" t="n">
        <f aca="false">Historicals!D10</f>
        <v>0</v>
      </c>
      <c r="E14" s="44"/>
      <c r="F14" s="11" t="n">
        <f aca="false">Assumptions!B10</f>
        <v>5</v>
      </c>
      <c r="G14" s="11" t="n">
        <f aca="false">Assumptions!B10</f>
        <v>5</v>
      </c>
      <c r="H14" s="11" t="n">
        <f aca="false">Assumptions!B10</f>
        <v>5</v>
      </c>
      <c r="I14" s="3"/>
      <c r="J14" s="3"/>
      <c r="K14" s="4"/>
      <c r="L14" s="4"/>
      <c r="M14" s="4"/>
      <c r="N14" s="4"/>
    </row>
    <row r="15" customFormat="false" ht="18" hidden="false" customHeight="true" outlineLevel="0" collapsed="false">
      <c r="A15" s="18" t="s">
        <v>180</v>
      </c>
      <c r="B15" s="11" t="n">
        <f aca="false">Historicals!B12</f>
        <v>548</v>
      </c>
      <c r="C15" s="11" t="n">
        <f aca="false">Historicals!C12</f>
        <v>555</v>
      </c>
      <c r="D15" s="11" t="n">
        <f aca="false">Historicals!D12</f>
        <v>555</v>
      </c>
      <c r="E15" s="44"/>
      <c r="F15" s="35" t="n">
        <f aca="false">F12-F13-F14</f>
        <v>561.00872</v>
      </c>
      <c r="G15" s="35" t="n">
        <f aca="false">G12-G13-G14</f>
        <v>566.3988072</v>
      </c>
      <c r="H15" s="35" t="n">
        <f aca="false">H12-H13-H14</f>
        <v>571.842795272</v>
      </c>
      <c r="I15" s="3"/>
      <c r="J15" s="3"/>
      <c r="K15" s="4"/>
      <c r="L15" s="4"/>
      <c r="M15" s="4"/>
      <c r="N15" s="4"/>
    </row>
    <row r="16" customFormat="false" ht="18" hidden="false" customHeight="true" outlineLevel="0" collapsed="false">
      <c r="A16" s="45"/>
      <c r="B16" s="3"/>
      <c r="C16" s="3"/>
      <c r="D16" s="3"/>
      <c r="E16" s="3"/>
      <c r="F16" s="3"/>
      <c r="G16" s="3"/>
      <c r="H16" s="3"/>
      <c r="I16" s="3"/>
      <c r="J16" s="3"/>
      <c r="K16" s="4"/>
      <c r="L16" s="4"/>
      <c r="M16" s="4"/>
      <c r="N16" s="4"/>
    </row>
    <row r="17" customFormat="false" ht="18.75" hidden="false" customHeight="true" outlineLevel="0" collapsed="false">
      <c r="A17" s="46" t="s">
        <v>181</v>
      </c>
      <c r="B17" s="46"/>
      <c r="C17" s="46"/>
      <c r="D17" s="46"/>
      <c r="E17" s="46"/>
      <c r="F17" s="46"/>
      <c r="G17" s="46"/>
      <c r="H17" s="46"/>
      <c r="I17" s="3"/>
      <c r="J17" s="3"/>
      <c r="K17" s="4"/>
      <c r="L17" s="4"/>
      <c r="M17" s="4"/>
      <c r="N17" s="4"/>
    </row>
    <row r="18" customFormat="false" ht="18" hidden="false" customHeight="true" outlineLevel="0" collapsed="false">
      <c r="A18" s="18" t="s">
        <v>178</v>
      </c>
      <c r="B18" s="3"/>
      <c r="C18" s="3"/>
      <c r="D18" s="47"/>
      <c r="E18" s="40" t="n">
        <f aca="false">E12</f>
        <v>417.00872</v>
      </c>
      <c r="F18" s="40" t="n">
        <f aca="false">F12</f>
        <v>587.00872</v>
      </c>
      <c r="G18" s="40" t="n">
        <f aca="false">G12</f>
        <v>592.3988072</v>
      </c>
      <c r="H18" s="40" t="n">
        <f aca="false">H12</f>
        <v>597.842795272</v>
      </c>
      <c r="I18" s="3"/>
      <c r="J18" s="3"/>
      <c r="K18" s="4"/>
      <c r="L18" s="4"/>
      <c r="M18" s="4"/>
      <c r="N18" s="4"/>
    </row>
    <row r="19" customFormat="false" ht="18" hidden="false" customHeight="true" outlineLevel="0" collapsed="false">
      <c r="A19" s="18" t="s">
        <v>182</v>
      </c>
      <c r="B19" s="3"/>
      <c r="C19" s="3"/>
      <c r="D19" s="3"/>
      <c r="E19" s="43" t="n">
        <f aca="false">Assumptions!B13</f>
        <v>0.8</v>
      </c>
      <c r="F19" s="43" t="n">
        <f aca="false">Assumptions!B13</f>
        <v>0.8</v>
      </c>
      <c r="G19" s="43" t="n">
        <f aca="false">Assumptions!B13</f>
        <v>0.8</v>
      </c>
      <c r="H19" s="43" t="n">
        <f aca="false">Assumptions!B13</f>
        <v>0.8</v>
      </c>
      <c r="I19" s="3"/>
      <c r="J19" s="3"/>
      <c r="K19" s="4"/>
      <c r="L19" s="4"/>
      <c r="M19" s="4"/>
      <c r="N19" s="4"/>
    </row>
    <row r="20" customFormat="false" ht="18" hidden="false" customHeight="true" outlineLevel="0" collapsed="false">
      <c r="A20" s="18" t="s">
        <v>183</v>
      </c>
      <c r="B20" s="3"/>
      <c r="C20" s="3"/>
      <c r="D20" s="11" t="n">
        <f aca="false">Historicals!D18+Historicals!D13+Historicals!D14</f>
        <v>85</v>
      </c>
      <c r="E20" s="35" t="n">
        <f aca="false">F20-D20</f>
        <v>346.206976</v>
      </c>
      <c r="F20" s="35" t="n">
        <f aca="false">F9*Assumptions!B13</f>
        <v>431.206976</v>
      </c>
      <c r="G20" s="35" t="n">
        <f aca="false">G9*Assumptions!B13</f>
        <v>435.51904576</v>
      </c>
      <c r="H20" s="35" t="n">
        <f aca="false">H9*Assumptions!B13</f>
        <v>439.8742362176</v>
      </c>
      <c r="I20" s="3"/>
      <c r="J20" s="3"/>
      <c r="K20" s="4"/>
      <c r="L20" s="4"/>
      <c r="M20" s="4"/>
      <c r="N20" s="4"/>
    </row>
    <row r="21" customFormat="false" ht="18" hidden="false" customHeight="true" outlineLevel="0" collapsed="false">
      <c r="A21" s="18" t="s">
        <v>184</v>
      </c>
      <c r="B21" s="3"/>
      <c r="C21" s="3"/>
      <c r="D21" s="11" t="n">
        <f aca="false">-Historicals!D13</f>
        <v>-20</v>
      </c>
      <c r="E21" s="35" t="n">
        <f aca="false">F21-D21</f>
        <v>-20</v>
      </c>
      <c r="F21" s="11" t="n">
        <f aca="false">-Assumptions!B11</f>
        <v>-40</v>
      </c>
      <c r="G21" s="11" t="n">
        <f aca="false">-Assumptions!B11</f>
        <v>-40</v>
      </c>
      <c r="H21" s="11" t="n">
        <f aca="false">-Assumptions!B11</f>
        <v>-40</v>
      </c>
      <c r="I21" s="3"/>
      <c r="J21" s="3"/>
      <c r="K21" s="4"/>
      <c r="L21" s="4"/>
      <c r="M21" s="4"/>
      <c r="N21" s="4"/>
    </row>
    <row r="22" customFormat="false" ht="18" hidden="false" customHeight="true" outlineLevel="0" collapsed="false">
      <c r="A22" s="18" t="s">
        <v>185</v>
      </c>
      <c r="B22" s="3"/>
      <c r="C22" s="3"/>
      <c r="D22" s="11" t="n">
        <f aca="false">-Historicals!D14</f>
        <v>-25</v>
      </c>
      <c r="E22" s="35" t="n">
        <f aca="false">F22-D22</f>
        <v>-120.5323544</v>
      </c>
      <c r="F22" s="35" t="n">
        <f aca="false">-F9*Assumptions!B12</f>
        <v>-145.5323544</v>
      </c>
      <c r="G22" s="35" t="n">
        <f aca="false">-G9*Assumptions!B12</f>
        <v>-146.987677944</v>
      </c>
      <c r="H22" s="35" t="n">
        <f aca="false">-H9*Assumptions!B12</f>
        <v>-148.45755472344</v>
      </c>
      <c r="I22" s="3"/>
      <c r="J22" s="3"/>
      <c r="K22" s="4"/>
      <c r="L22" s="4"/>
      <c r="M22" s="4"/>
      <c r="N22" s="4"/>
    </row>
    <row r="23" customFormat="false" ht="18" hidden="false" customHeight="true" outlineLevel="0" collapsed="false">
      <c r="A23" s="18" t="s">
        <v>74</v>
      </c>
      <c r="B23" s="3"/>
      <c r="C23" s="3"/>
      <c r="D23" s="35" t="n">
        <f aca="false">0</f>
        <v>0</v>
      </c>
      <c r="E23" s="35" t="n">
        <f aca="false">F23-D23</f>
        <v>-3</v>
      </c>
      <c r="F23" s="11" t="n">
        <f aca="false">-Assumptions!B14</f>
        <v>-3</v>
      </c>
      <c r="G23" s="11" t="n">
        <f aca="false">-Assumptions!B14</f>
        <v>-3</v>
      </c>
      <c r="H23" s="11" t="n">
        <f aca="false">-Assumptions!B14</f>
        <v>-3</v>
      </c>
      <c r="I23" s="3"/>
      <c r="J23" s="3"/>
      <c r="K23" s="4"/>
      <c r="L23" s="4"/>
      <c r="M23" s="4"/>
      <c r="N23" s="4"/>
    </row>
    <row r="24" customFormat="false" ht="18" hidden="false" customHeight="true" outlineLevel="0" collapsed="false">
      <c r="A24" s="18" t="s">
        <v>186</v>
      </c>
      <c r="B24" s="3"/>
      <c r="C24" s="3"/>
      <c r="D24" s="11" t="n">
        <f aca="false">Historicals!D18</f>
        <v>40</v>
      </c>
      <c r="E24" s="35" t="n">
        <f aca="false">SUM(E20:E23)</f>
        <v>202.6746216</v>
      </c>
      <c r="F24" s="35" t="n">
        <f aca="false">F20+F21+F22+F23</f>
        <v>242.6746216</v>
      </c>
      <c r="G24" s="35" t="n">
        <f aca="false">G20+G21+G22+G23</f>
        <v>245.531367816</v>
      </c>
      <c r="H24" s="35" t="n">
        <f aca="false">H20+H21+H22+H23</f>
        <v>248.41668149416</v>
      </c>
      <c r="I24" s="3"/>
      <c r="J24" s="3"/>
      <c r="K24" s="4"/>
      <c r="L24" s="4"/>
      <c r="M24" s="4"/>
      <c r="N24" s="4"/>
    </row>
    <row r="25" customFormat="false" ht="18" hidden="false" customHeight="true" outlineLevel="0" collapsed="false">
      <c r="A25" s="18" t="s">
        <v>187</v>
      </c>
      <c r="B25" s="3"/>
      <c r="C25" s="3"/>
      <c r="D25" s="11" t="n">
        <f aca="false">-Assumptions!B17</f>
        <v>-60</v>
      </c>
      <c r="E25" s="35" t="n">
        <f aca="false">F25</f>
        <v>-60</v>
      </c>
      <c r="F25" s="11" t="n">
        <f aca="false">-Assumptions!B17</f>
        <v>-60</v>
      </c>
      <c r="G25" s="11" t="n">
        <f aca="false">-Assumptions!B17</f>
        <v>-60</v>
      </c>
      <c r="H25" s="11" t="n">
        <f aca="false">-Assumptions!B17</f>
        <v>-60</v>
      </c>
      <c r="I25" s="3"/>
      <c r="J25" s="3"/>
      <c r="K25" s="4"/>
      <c r="L25" s="4"/>
      <c r="M25" s="4"/>
      <c r="N25" s="4"/>
    </row>
    <row r="26" customFormat="false" ht="18" hidden="false" customHeight="true" outlineLevel="0" collapsed="false">
      <c r="A26" s="45"/>
      <c r="B26" s="3"/>
      <c r="C26" s="3"/>
      <c r="D26" s="3"/>
      <c r="E26" s="3"/>
      <c r="F26" s="3"/>
      <c r="G26" s="3"/>
      <c r="H26" s="3"/>
      <c r="I26" s="3"/>
      <c r="J26" s="3"/>
      <c r="K26" s="4"/>
      <c r="L26" s="4"/>
      <c r="M26" s="4"/>
      <c r="N26" s="4"/>
    </row>
    <row r="27" customFormat="false" ht="18" hidden="false" customHeight="true" outlineLevel="0" collapsed="false">
      <c r="A27" s="46" t="s">
        <v>188</v>
      </c>
      <c r="B27" s="46"/>
      <c r="C27" s="46"/>
      <c r="D27" s="46"/>
      <c r="E27" s="46"/>
      <c r="F27" s="46"/>
      <c r="G27" s="46"/>
      <c r="H27" s="46"/>
      <c r="I27" s="3"/>
      <c r="J27" s="3"/>
      <c r="K27" s="4"/>
      <c r="L27" s="4"/>
      <c r="M27" s="4"/>
      <c r="N27" s="4"/>
    </row>
    <row r="28" customFormat="false" ht="18" hidden="false" customHeight="true" outlineLevel="0" collapsed="false">
      <c r="A28" s="18" t="s">
        <v>189</v>
      </c>
      <c r="B28" s="3"/>
      <c r="C28" s="3"/>
      <c r="D28" s="11" t="n">
        <f aca="false">-Historicals!D16</f>
        <v>-124</v>
      </c>
      <c r="E28" s="35" t="n">
        <f aca="false">F28-D28</f>
        <v>-63.6</v>
      </c>
      <c r="F28" s="11" t="n">
        <f aca="false">-(Assumptions!B15*Assumptions!B16)</f>
        <v>-187.6</v>
      </c>
      <c r="G28" s="11" t="n">
        <f aca="false">-(Assumptions!B15*Assumptions!B16)</f>
        <v>-187.6</v>
      </c>
      <c r="H28" s="11" t="n">
        <f aca="false">-(Assumptions!B15*Assumptions!B16)</f>
        <v>-187.6</v>
      </c>
      <c r="I28" s="3"/>
      <c r="J28" s="3"/>
      <c r="K28" s="4"/>
      <c r="L28" s="4"/>
      <c r="M28" s="4"/>
      <c r="N28" s="4"/>
    </row>
    <row r="29" customFormat="false" ht="18" hidden="false" customHeight="true" outlineLevel="0" collapsed="false">
      <c r="A29" s="18" t="s">
        <v>190</v>
      </c>
      <c r="B29" s="3"/>
      <c r="C29" s="3"/>
      <c r="D29" s="35" t="n">
        <f aca="false">0</f>
        <v>0</v>
      </c>
      <c r="E29" s="35" t="n">
        <f aca="false">F29-D29</f>
        <v>-100</v>
      </c>
      <c r="F29" s="11" t="n">
        <f aca="false">-Assumptions!B37</f>
        <v>-100</v>
      </c>
      <c r="G29" s="35" t="n">
        <f aca="false">0</f>
        <v>0</v>
      </c>
      <c r="H29" s="35" t="n">
        <f aca="false">0</f>
        <v>0</v>
      </c>
      <c r="I29" s="3"/>
      <c r="J29" s="3"/>
      <c r="K29" s="4"/>
      <c r="L29" s="4"/>
      <c r="M29" s="4"/>
      <c r="N29" s="4"/>
    </row>
    <row r="30" customFormat="false" ht="18" hidden="false" customHeight="true" outlineLevel="0" collapsed="false">
      <c r="A30" s="18" t="s">
        <v>191</v>
      </c>
      <c r="B30" s="3"/>
      <c r="C30" s="3"/>
      <c r="D30" s="35" t="n">
        <f aca="false">SUM(D28:D29)</f>
        <v>-124</v>
      </c>
      <c r="E30" s="35" t="n">
        <f aca="false">SUM(E28:E29)</f>
        <v>-163.6</v>
      </c>
      <c r="F30" s="35" t="n">
        <f aca="false">SUM(F28:F29)</f>
        <v>-287.6</v>
      </c>
      <c r="G30" s="35" t="n">
        <f aca="false">SUM(G28:G29)</f>
        <v>-187.6</v>
      </c>
      <c r="H30" s="35" t="n">
        <f aca="false">SUM(H28:H29)</f>
        <v>-187.6</v>
      </c>
      <c r="I30" s="3"/>
      <c r="J30" s="3"/>
      <c r="K30" s="4"/>
      <c r="L30" s="4"/>
      <c r="M30" s="4"/>
      <c r="N30" s="4"/>
    </row>
    <row r="31" customFormat="false" ht="18" hidden="false" customHeight="true" outlineLevel="0" collapsed="false">
      <c r="A31" s="45"/>
      <c r="B31" s="3"/>
      <c r="C31" s="3"/>
      <c r="D31" s="3"/>
      <c r="E31" s="3"/>
      <c r="F31" s="3"/>
      <c r="G31" s="3"/>
      <c r="H31" s="3"/>
      <c r="I31" s="3"/>
      <c r="J31" s="3"/>
      <c r="K31" s="4"/>
      <c r="L31" s="4"/>
      <c r="M31" s="4"/>
      <c r="N31" s="4"/>
    </row>
    <row r="32" customFormat="false" ht="18" hidden="false" customHeight="true" outlineLevel="0" collapsed="false">
      <c r="A32" s="46" t="s">
        <v>192</v>
      </c>
      <c r="B32" s="46"/>
      <c r="C32" s="46"/>
      <c r="D32" s="46"/>
      <c r="E32" s="46"/>
      <c r="F32" s="46"/>
      <c r="G32" s="46"/>
      <c r="H32" s="46"/>
      <c r="I32" s="3"/>
      <c r="J32" s="3"/>
      <c r="K32" s="4"/>
      <c r="L32" s="4"/>
      <c r="M32" s="4"/>
      <c r="N32" s="4"/>
    </row>
    <row r="33" customFormat="false" ht="18" hidden="false" customHeight="true" outlineLevel="0" collapsed="false">
      <c r="A33" s="18" t="s">
        <v>193</v>
      </c>
      <c r="B33" s="3"/>
      <c r="C33" s="3"/>
      <c r="D33" s="11" t="n">
        <f aca="false">Historicals!D22</f>
        <v>652</v>
      </c>
      <c r="E33" s="35" t="n">
        <f aca="false">D35</f>
        <v>652</v>
      </c>
      <c r="F33" s="35" t="n">
        <f aca="false">D35</f>
        <v>652</v>
      </c>
      <c r="G33" s="35" t="n">
        <f aca="false">F35</f>
        <v>612.9253784</v>
      </c>
      <c r="H33" s="35" t="n">
        <f aca="false">G35</f>
        <v>554.994010584</v>
      </c>
      <c r="I33" s="3"/>
      <c r="J33" s="3"/>
      <c r="K33" s="4"/>
      <c r="L33" s="4"/>
      <c r="M33" s="4"/>
      <c r="N33" s="4"/>
    </row>
    <row r="34" customFormat="false" ht="18" hidden="false" customHeight="true" outlineLevel="0" collapsed="false">
      <c r="A34" s="18" t="s">
        <v>194</v>
      </c>
      <c r="B34" s="3"/>
      <c r="C34" s="3"/>
      <c r="D34" s="11" t="n">
        <f aca="false">Historicals!D18+Historicals!D16</f>
        <v>164</v>
      </c>
      <c r="E34" s="35" t="n">
        <f aca="false">E24+E30</f>
        <v>39.0746216</v>
      </c>
      <c r="F34" s="35" t="n">
        <f aca="false">E34</f>
        <v>39.0746216</v>
      </c>
      <c r="G34" s="35" t="n">
        <f aca="false">G24+G30</f>
        <v>57.931367816</v>
      </c>
      <c r="H34" s="35" t="n">
        <f aca="false">H24+H30</f>
        <v>60.81668149416</v>
      </c>
      <c r="I34" s="3"/>
      <c r="J34" s="3"/>
      <c r="K34" s="4"/>
      <c r="L34" s="4"/>
      <c r="M34" s="4"/>
      <c r="N34" s="4"/>
    </row>
    <row r="35" customFormat="false" ht="18" hidden="false" customHeight="true" outlineLevel="0" collapsed="false">
      <c r="A35" s="18" t="s">
        <v>195</v>
      </c>
      <c r="B35" s="3"/>
      <c r="C35" s="3"/>
      <c r="D35" s="11" t="n">
        <f aca="false">Historicals!D22</f>
        <v>652</v>
      </c>
      <c r="E35" s="35" t="n">
        <f aca="false">E33-E34</f>
        <v>612.9253784</v>
      </c>
      <c r="F35" s="35" t="n">
        <f aca="false">F33-F34</f>
        <v>612.9253784</v>
      </c>
      <c r="G35" s="35" t="n">
        <f aca="false">G33-G34</f>
        <v>554.994010584</v>
      </c>
      <c r="H35" s="35" t="n">
        <f aca="false">H33-H34</f>
        <v>494.17732908984</v>
      </c>
      <c r="I35" s="3"/>
      <c r="J35" s="3"/>
      <c r="K35" s="4"/>
      <c r="L35" s="4"/>
      <c r="M35" s="4"/>
      <c r="N35" s="4"/>
    </row>
    <row r="36" customFormat="false" ht="18" hidden="false" customHeight="true" outlineLevel="0" collapsed="false">
      <c r="A36" s="18" t="s">
        <v>196</v>
      </c>
      <c r="B36" s="3"/>
      <c r="C36" s="3"/>
      <c r="D36" s="11" t="n">
        <f aca="false">Historicals!D19</f>
        <v>264</v>
      </c>
      <c r="E36" s="35" t="n">
        <f aca="false">D36+(D35-E35)</f>
        <v>303.0746216</v>
      </c>
      <c r="F36" s="35" t="n">
        <f aca="false">D36+(D35-F35)</f>
        <v>303.0746216</v>
      </c>
      <c r="G36" s="35" t="n">
        <f aca="false">F36+(F35-G35)</f>
        <v>361.005989416</v>
      </c>
      <c r="H36" s="35" t="n">
        <f aca="false">G36+(G35-H35)</f>
        <v>421.82267091016</v>
      </c>
      <c r="I36" s="3"/>
      <c r="J36" s="3"/>
      <c r="K36" s="4"/>
      <c r="L36" s="4"/>
      <c r="M36" s="4"/>
      <c r="N36" s="4"/>
    </row>
    <row r="37" customFormat="false" ht="18" hidden="false" customHeight="true" outlineLevel="0" collapsed="false">
      <c r="A37" s="18" t="s">
        <v>197</v>
      </c>
      <c r="B37" s="3"/>
      <c r="C37" s="3"/>
      <c r="D37" s="11" t="n">
        <f aca="false">Historicals!D23</f>
        <v>574</v>
      </c>
      <c r="E37" s="35" t="n">
        <f aca="false">D38</f>
        <v>574</v>
      </c>
      <c r="F37" s="35" t="n">
        <f aca="false">D38</f>
        <v>574</v>
      </c>
      <c r="G37" s="35" t="n">
        <f aca="false">F38</f>
        <v>534.9253784</v>
      </c>
      <c r="H37" s="35" t="n">
        <f aca="false">G38</f>
        <v>476.994010584</v>
      </c>
      <c r="I37" s="3"/>
      <c r="J37" s="3"/>
      <c r="K37" s="4"/>
      <c r="L37" s="4"/>
      <c r="M37" s="4"/>
      <c r="N37" s="4"/>
    </row>
    <row r="38" customFormat="false" ht="18" hidden="false" customHeight="true" outlineLevel="0" collapsed="false">
      <c r="A38" s="18" t="s">
        <v>198</v>
      </c>
      <c r="B38" s="3"/>
      <c r="C38" s="3"/>
      <c r="D38" s="11" t="n">
        <f aca="false">Historicals!D23</f>
        <v>574</v>
      </c>
      <c r="E38" s="35" t="n">
        <f aca="false">E37-E34</f>
        <v>534.9253784</v>
      </c>
      <c r="F38" s="35" t="n">
        <f aca="false">F37-F34</f>
        <v>534.9253784</v>
      </c>
      <c r="G38" s="35" t="n">
        <f aca="false">G37-G34</f>
        <v>476.994010584</v>
      </c>
      <c r="H38" s="35" t="n">
        <f aca="false">H37-H34</f>
        <v>416.17732908984</v>
      </c>
      <c r="I38" s="3"/>
      <c r="J38" s="3"/>
      <c r="K38" s="4"/>
      <c r="L38" s="4"/>
      <c r="M38" s="4"/>
      <c r="N38" s="4"/>
    </row>
    <row r="39" customFormat="false" ht="18" hidden="false" customHeight="true" outlineLevel="0" collapsed="false">
      <c r="A39" s="18" t="s">
        <v>166</v>
      </c>
      <c r="B39" s="3"/>
      <c r="C39" s="3"/>
      <c r="D39" s="12" t="n">
        <f aca="false">Historicals!D25</f>
        <v>1</v>
      </c>
      <c r="E39" s="41" t="n">
        <f aca="false">E38/F15</f>
        <v>0.95350635262853</v>
      </c>
      <c r="F39" s="41" t="n">
        <f aca="false">F38/F15</f>
        <v>0.95350635262853</v>
      </c>
      <c r="G39" s="41" t="n">
        <f aca="false">G38/G15</f>
        <v>0.842152215930726</v>
      </c>
      <c r="H39" s="41" t="n">
        <f aca="false">H38/H15</f>
        <v>0.727782762204573</v>
      </c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6"/>
      <c r="B40" s="3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4"/>
    </row>
    <row r="41" customFormat="false" ht="18.75" hidden="false" customHeight="true" outlineLevel="0" collapsed="false">
      <c r="A41" s="7" t="s">
        <v>199</v>
      </c>
      <c r="B41" s="7"/>
      <c r="C41" s="7"/>
      <c r="D41" s="7"/>
      <c r="E41" s="7"/>
      <c r="F41" s="7"/>
      <c r="G41" s="7"/>
      <c r="H41" s="7"/>
      <c r="I41" s="3"/>
      <c r="J41" s="3"/>
      <c r="K41" s="4"/>
      <c r="L41" s="4"/>
      <c r="M41" s="4"/>
      <c r="N41" s="4"/>
    </row>
    <row r="42" customFormat="false" ht="31.5" hidden="false" customHeight="true" outlineLevel="0" collapsed="false">
      <c r="A42" s="15" t="s">
        <v>15</v>
      </c>
      <c r="B42" s="16" t="s">
        <v>200</v>
      </c>
      <c r="C42" s="16"/>
      <c r="D42" s="16"/>
      <c r="E42" s="16"/>
      <c r="F42" s="16"/>
      <c r="G42" s="16"/>
      <c r="H42" s="16"/>
      <c r="I42" s="3"/>
      <c r="J42" s="3"/>
      <c r="K42" s="4"/>
      <c r="L42" s="4"/>
      <c r="M42" s="4"/>
      <c r="N42" s="4"/>
    </row>
    <row r="43" customFormat="false" ht="31.5" hidden="false" customHeight="true" outlineLevel="0" collapsed="false">
      <c r="A43" s="15" t="s">
        <v>17</v>
      </c>
      <c r="B43" s="16" t="s">
        <v>201</v>
      </c>
      <c r="C43" s="16"/>
      <c r="D43" s="16"/>
      <c r="E43" s="16"/>
      <c r="F43" s="16"/>
      <c r="G43" s="16"/>
      <c r="H43" s="16"/>
      <c r="I43" s="3"/>
      <c r="J43" s="3"/>
      <c r="K43" s="4"/>
      <c r="L43" s="4"/>
      <c r="M43" s="4"/>
      <c r="N43" s="4"/>
    </row>
    <row r="44" customFormat="false" ht="31.5" hidden="false" customHeight="true" outlineLevel="0" collapsed="false">
      <c r="A44" s="15" t="s">
        <v>19</v>
      </c>
      <c r="B44" s="16" t="s">
        <v>202</v>
      </c>
      <c r="C44" s="16"/>
      <c r="D44" s="16"/>
      <c r="E44" s="16"/>
      <c r="F44" s="16"/>
      <c r="G44" s="16"/>
      <c r="H44" s="16"/>
      <c r="I44" s="3"/>
      <c r="J44" s="3"/>
      <c r="K44" s="4"/>
      <c r="L44" s="4"/>
      <c r="M44" s="4"/>
      <c r="N44" s="4"/>
    </row>
    <row r="45" customFormat="false" ht="31.5" hidden="false" customHeight="true" outlineLevel="0" collapsed="false">
      <c r="A45" s="15" t="s">
        <v>21</v>
      </c>
      <c r="B45" s="16" t="s">
        <v>203</v>
      </c>
      <c r="C45" s="16"/>
      <c r="D45" s="16"/>
      <c r="E45" s="16"/>
      <c r="F45" s="16"/>
      <c r="G45" s="16"/>
      <c r="H45" s="16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11">
    <mergeCell ref="A1:H1"/>
    <mergeCell ref="A2:H2"/>
    <mergeCell ref="A6:H6"/>
    <mergeCell ref="A17:H17"/>
    <mergeCell ref="A27:H27"/>
    <mergeCell ref="A32:H32"/>
    <mergeCell ref="A41:H41"/>
    <mergeCell ref="B42:H42"/>
    <mergeCell ref="B43:H43"/>
    <mergeCell ref="B44:H44"/>
    <mergeCell ref="B45:H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8" min="2" style="1" width="1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48" t="s">
        <v>204</v>
      </c>
      <c r="B1" s="48"/>
      <c r="C1" s="48"/>
      <c r="D1" s="48"/>
      <c r="E1" s="48"/>
      <c r="F1" s="48"/>
      <c r="G1" s="48"/>
      <c r="H1" s="3"/>
      <c r="I1" s="3"/>
      <c r="J1" s="3"/>
      <c r="K1" s="4"/>
      <c r="L1" s="4"/>
      <c r="M1" s="4"/>
      <c r="N1" s="4"/>
    </row>
    <row r="2" customFormat="false" ht="30" hidden="false" customHeight="true" outlineLevel="0" collapsed="false">
      <c r="A2" s="5" t="s">
        <v>205</v>
      </c>
      <c r="B2" s="5"/>
      <c r="C2" s="5"/>
      <c r="D2" s="5"/>
      <c r="E2" s="5"/>
      <c r="F2" s="5"/>
      <c r="G2" s="5"/>
      <c r="H2" s="3"/>
      <c r="I2" s="3"/>
      <c r="J2" s="3"/>
      <c r="K2" s="4"/>
      <c r="L2" s="4"/>
      <c r="M2" s="4"/>
      <c r="N2" s="4"/>
    </row>
    <row r="3" customFormat="false" ht="15" hidden="false" customHeight="true" outlineLevel="0" collapsed="false">
      <c r="A3" s="45"/>
      <c r="B3" s="49"/>
      <c r="C3" s="49"/>
      <c r="D3" s="49"/>
      <c r="E3" s="49"/>
      <c r="F3" s="49"/>
      <c r="G3" s="49"/>
      <c r="H3" s="3"/>
      <c r="I3" s="3"/>
      <c r="J3" s="3"/>
      <c r="K3" s="4"/>
      <c r="L3" s="4"/>
      <c r="M3" s="4"/>
      <c r="N3" s="4"/>
    </row>
    <row r="4" customFormat="false" ht="18.75" hidden="false" customHeight="true" outlineLevel="0" collapsed="false">
      <c r="A4" s="46" t="s">
        <v>206</v>
      </c>
      <c r="B4" s="46"/>
      <c r="C4" s="46"/>
      <c r="D4" s="46"/>
      <c r="E4" s="46"/>
      <c r="F4" s="46"/>
      <c r="G4" s="46"/>
      <c r="H4" s="3"/>
      <c r="I4" s="3"/>
      <c r="J4" s="3"/>
      <c r="K4" s="4"/>
      <c r="L4" s="4"/>
      <c r="M4" s="4"/>
      <c r="N4" s="4"/>
    </row>
    <row r="5" customFormat="false" ht="23.25" hidden="false" customHeight="true" outlineLevel="0" collapsed="false">
      <c r="A5" s="8" t="s">
        <v>207</v>
      </c>
      <c r="B5" s="17" t="s">
        <v>208</v>
      </c>
      <c r="C5" s="17" t="s">
        <v>209</v>
      </c>
      <c r="D5" s="17" t="s">
        <v>210</v>
      </c>
      <c r="E5" s="17" t="s">
        <v>211</v>
      </c>
      <c r="F5" s="17" t="s">
        <v>212</v>
      </c>
      <c r="G5" s="9" t="s">
        <v>213</v>
      </c>
      <c r="H5" s="3"/>
      <c r="I5" s="3"/>
      <c r="J5" s="3"/>
      <c r="K5" s="4"/>
      <c r="L5" s="4"/>
      <c r="M5" s="4"/>
      <c r="N5" s="4"/>
    </row>
    <row r="6" customFormat="false" ht="34.5" hidden="false" customHeight="true" outlineLevel="0" collapsed="false">
      <c r="A6" s="18" t="s">
        <v>214</v>
      </c>
      <c r="B6" s="39" t="n">
        <v>313</v>
      </c>
      <c r="C6" s="39" t="n">
        <v>360</v>
      </c>
      <c r="D6" s="33" t="s">
        <v>215</v>
      </c>
      <c r="E6" s="33" t="s">
        <v>216</v>
      </c>
      <c r="F6" s="33" t="s">
        <v>217</v>
      </c>
      <c r="G6" s="33" t="s">
        <v>218</v>
      </c>
      <c r="H6" s="3"/>
      <c r="I6" s="3"/>
      <c r="J6" s="3"/>
      <c r="K6" s="4"/>
      <c r="L6" s="4"/>
      <c r="M6" s="4"/>
      <c r="N6" s="4"/>
    </row>
    <row r="7" customFormat="false" ht="23.25" hidden="false" customHeight="true" outlineLevel="0" collapsed="false">
      <c r="A7" s="18" t="s">
        <v>219</v>
      </c>
      <c r="B7" s="39" t="n">
        <v>436</v>
      </c>
      <c r="C7" s="39" t="n">
        <v>500</v>
      </c>
      <c r="D7" s="33" t="s">
        <v>220</v>
      </c>
      <c r="E7" s="33" t="s">
        <v>221</v>
      </c>
      <c r="F7" s="33" t="s">
        <v>222</v>
      </c>
      <c r="G7" s="33" t="s">
        <v>218</v>
      </c>
      <c r="H7" s="3"/>
      <c r="I7" s="3"/>
      <c r="J7" s="3"/>
      <c r="K7" s="4"/>
      <c r="L7" s="4"/>
      <c r="M7" s="4"/>
      <c r="N7" s="4"/>
    </row>
    <row r="8" customFormat="false" ht="34.5" hidden="false" customHeight="true" outlineLevel="0" collapsed="false">
      <c r="A8" s="18" t="s">
        <v>223</v>
      </c>
      <c r="B8" s="39" t="n">
        <v>0</v>
      </c>
      <c r="C8" s="39" t="n">
        <v>300</v>
      </c>
      <c r="D8" s="33" t="s">
        <v>224</v>
      </c>
      <c r="E8" s="33" t="s">
        <v>225</v>
      </c>
      <c r="F8" s="33" t="s">
        <v>226</v>
      </c>
      <c r="G8" s="33" t="s">
        <v>218</v>
      </c>
      <c r="H8" s="3"/>
      <c r="I8" s="3"/>
      <c r="J8" s="3"/>
      <c r="K8" s="4"/>
      <c r="L8" s="4"/>
      <c r="M8" s="4"/>
      <c r="N8" s="4"/>
    </row>
    <row r="9" customFormat="false" ht="23.25" hidden="false" customHeight="true" outlineLevel="0" collapsed="false">
      <c r="A9" s="18" t="s">
        <v>227</v>
      </c>
      <c r="B9" s="39" t="n">
        <v>16</v>
      </c>
      <c r="C9" s="39" t="n">
        <v>16</v>
      </c>
      <c r="D9" s="33" t="s">
        <v>228</v>
      </c>
      <c r="E9" s="33" t="s">
        <v>229</v>
      </c>
      <c r="F9" s="33" t="s">
        <v>222</v>
      </c>
      <c r="G9" s="33" t="s">
        <v>218</v>
      </c>
      <c r="H9" s="3"/>
      <c r="I9" s="3"/>
      <c r="J9" s="3"/>
      <c r="K9" s="4"/>
      <c r="L9" s="4"/>
      <c r="M9" s="4"/>
      <c r="N9" s="4"/>
    </row>
    <row r="10" customFormat="false" ht="15" hidden="false" customHeight="true" outlineLevel="0" collapsed="false">
      <c r="A10" s="18" t="s">
        <v>230</v>
      </c>
      <c r="B10" s="39" t="n">
        <f aca="false">SUM(B6:B9)</f>
        <v>765</v>
      </c>
      <c r="C10" s="39" t="n">
        <f aca="false">SUM(C6:C9)</f>
        <v>1176</v>
      </c>
      <c r="D10" s="49"/>
      <c r="E10" s="49"/>
      <c r="F10" s="49"/>
      <c r="G10" s="49"/>
      <c r="H10" s="3"/>
      <c r="I10" s="3"/>
      <c r="J10" s="3"/>
      <c r="K10" s="4"/>
      <c r="L10" s="4"/>
      <c r="M10" s="4"/>
      <c r="N10" s="4"/>
    </row>
    <row r="11" customFormat="false" ht="15" hidden="false" customHeight="true" outlineLevel="0" collapsed="false">
      <c r="A11" s="45"/>
      <c r="B11" s="49"/>
      <c r="C11" s="49"/>
      <c r="D11" s="49"/>
      <c r="E11" s="49"/>
      <c r="F11" s="49"/>
      <c r="G11" s="49"/>
      <c r="H11" s="3"/>
      <c r="I11" s="3"/>
      <c r="J11" s="3"/>
      <c r="K11" s="4"/>
      <c r="L11" s="4"/>
      <c r="M11" s="4"/>
      <c r="N11" s="4"/>
    </row>
    <row r="12" customFormat="false" ht="18.75" hidden="false" customHeight="true" outlineLevel="0" collapsed="false">
      <c r="A12" s="46" t="s">
        <v>231</v>
      </c>
      <c r="B12" s="46"/>
      <c r="C12" s="46"/>
      <c r="D12" s="46"/>
      <c r="E12" s="46"/>
      <c r="F12" s="46"/>
      <c r="G12" s="46"/>
      <c r="H12" s="3"/>
      <c r="I12" s="3"/>
      <c r="J12" s="3"/>
      <c r="K12" s="4"/>
      <c r="L12" s="4"/>
      <c r="M12" s="4"/>
      <c r="N12" s="4"/>
    </row>
    <row r="13" customFormat="false" ht="15" hidden="false" customHeight="true" outlineLevel="0" collapsed="false">
      <c r="A13" s="8" t="s">
        <v>232</v>
      </c>
      <c r="B13" s="17" t="s">
        <v>233</v>
      </c>
      <c r="C13" s="17" t="s">
        <v>234</v>
      </c>
      <c r="D13" s="17" t="s">
        <v>235</v>
      </c>
      <c r="E13" s="17" t="s">
        <v>210</v>
      </c>
      <c r="F13" s="17" t="s">
        <v>213</v>
      </c>
      <c r="G13" s="9" t="s">
        <v>60</v>
      </c>
      <c r="H13" s="3"/>
      <c r="I13" s="3"/>
      <c r="J13" s="3"/>
      <c r="K13" s="4"/>
      <c r="L13" s="4"/>
      <c r="M13" s="4"/>
      <c r="N13" s="4"/>
    </row>
    <row r="14" customFormat="false" ht="23.25" hidden="false" customHeight="true" outlineLevel="0" collapsed="false">
      <c r="A14" s="18" t="s">
        <v>236</v>
      </c>
      <c r="B14" s="50"/>
      <c r="C14" s="50"/>
      <c r="D14" s="32" t="n">
        <v>264</v>
      </c>
      <c r="E14" s="33" t="s">
        <v>237</v>
      </c>
      <c r="F14" s="33" t="s">
        <v>238</v>
      </c>
      <c r="G14" s="33" t="s">
        <v>239</v>
      </c>
      <c r="H14" s="3"/>
      <c r="I14" s="3"/>
      <c r="J14" s="3"/>
      <c r="K14" s="4"/>
      <c r="L14" s="4"/>
      <c r="M14" s="4"/>
      <c r="N14" s="4"/>
    </row>
    <row r="15" customFormat="false" ht="15" hidden="false" customHeight="true" outlineLevel="0" collapsed="false">
      <c r="A15" s="18" t="s">
        <v>240</v>
      </c>
      <c r="B15" s="32" t="n">
        <v>500</v>
      </c>
      <c r="C15" s="32" t="n">
        <v>60</v>
      </c>
      <c r="D15" s="32" t="n">
        <v>440</v>
      </c>
      <c r="E15" s="33" t="s">
        <v>241</v>
      </c>
      <c r="F15" s="33" t="s">
        <v>242</v>
      </c>
      <c r="G15" s="33" t="s">
        <v>243</v>
      </c>
      <c r="H15" s="3"/>
      <c r="I15" s="3"/>
      <c r="J15" s="3"/>
      <c r="K15" s="4"/>
      <c r="L15" s="4"/>
      <c r="M15" s="4"/>
      <c r="N15" s="4"/>
    </row>
    <row r="16" customFormat="false" ht="15" hidden="false" customHeight="true" outlineLevel="0" collapsed="false">
      <c r="A16" s="18" t="s">
        <v>244</v>
      </c>
      <c r="B16" s="32" t="n">
        <v>100</v>
      </c>
      <c r="C16" s="32" t="n">
        <v>0</v>
      </c>
      <c r="D16" s="32" t="n">
        <v>100</v>
      </c>
      <c r="E16" s="33" t="s">
        <v>245</v>
      </c>
      <c r="F16" s="33" t="s">
        <v>242</v>
      </c>
      <c r="G16" s="33" t="s">
        <v>243</v>
      </c>
      <c r="H16" s="3"/>
      <c r="I16" s="3"/>
      <c r="J16" s="3"/>
      <c r="K16" s="4"/>
      <c r="L16" s="4"/>
      <c r="M16" s="4"/>
      <c r="N16" s="4"/>
    </row>
    <row r="17" customFormat="false" ht="15" hidden="false" customHeight="true" outlineLevel="0" collapsed="false">
      <c r="A17" s="18" t="s">
        <v>246</v>
      </c>
      <c r="B17" s="32" t="n">
        <v>200</v>
      </c>
      <c r="C17" s="32" t="n">
        <v>0</v>
      </c>
      <c r="D17" s="32" t="n">
        <v>200</v>
      </c>
      <c r="E17" s="33" t="s">
        <v>247</v>
      </c>
      <c r="F17" s="33" t="s">
        <v>242</v>
      </c>
      <c r="G17" s="33" t="s">
        <v>243</v>
      </c>
      <c r="H17" s="3"/>
      <c r="I17" s="3"/>
      <c r="J17" s="3"/>
      <c r="K17" s="4"/>
      <c r="L17" s="4"/>
      <c r="M17" s="4"/>
      <c r="N17" s="4"/>
    </row>
    <row r="18" customFormat="false" ht="23.25" hidden="false" customHeight="true" outlineLevel="0" collapsed="false">
      <c r="A18" s="18" t="s">
        <v>223</v>
      </c>
      <c r="B18" s="32" t="n">
        <v>300</v>
      </c>
      <c r="C18" s="32" t="n">
        <v>0</v>
      </c>
      <c r="D18" s="32" t="n">
        <v>300</v>
      </c>
      <c r="E18" s="33" t="s">
        <v>224</v>
      </c>
      <c r="F18" s="33" t="s">
        <v>242</v>
      </c>
      <c r="G18" s="33" t="s">
        <v>226</v>
      </c>
      <c r="H18" s="3"/>
      <c r="I18" s="3"/>
      <c r="J18" s="3"/>
      <c r="K18" s="4"/>
      <c r="L18" s="4"/>
      <c r="M18" s="4"/>
      <c r="N18" s="4"/>
    </row>
    <row r="19" customFormat="false" ht="15" hidden="false" customHeight="true" outlineLevel="0" collapsed="false">
      <c r="A19" s="18" t="s">
        <v>248</v>
      </c>
      <c r="B19" s="51"/>
      <c r="C19" s="51"/>
      <c r="D19" s="39" t="n">
        <f aca="false">SUM(D15:D18)</f>
        <v>1040</v>
      </c>
      <c r="E19" s="49"/>
      <c r="F19" s="49"/>
      <c r="G19" s="49"/>
      <c r="H19" s="3"/>
      <c r="I19" s="3"/>
      <c r="J19" s="3"/>
      <c r="K19" s="4"/>
      <c r="L19" s="4"/>
      <c r="M19" s="4"/>
      <c r="N19" s="4"/>
    </row>
    <row r="20" customFormat="false" ht="15" hidden="false" customHeight="true" outlineLevel="0" collapsed="false">
      <c r="A20" s="18" t="s">
        <v>249</v>
      </c>
      <c r="B20" s="51"/>
      <c r="C20" s="51"/>
      <c r="D20" s="39" t="n">
        <f aca="false">D14+D19</f>
        <v>1304</v>
      </c>
      <c r="E20" s="49"/>
      <c r="F20" s="49"/>
      <c r="G20" s="49"/>
      <c r="H20" s="3"/>
      <c r="I20" s="3"/>
      <c r="J20" s="3"/>
      <c r="K20" s="4"/>
      <c r="L20" s="4"/>
      <c r="M20" s="4"/>
      <c r="N20" s="4"/>
    </row>
    <row r="21" customFormat="false" ht="15" hidden="false" customHeight="true" outlineLevel="0" collapsed="false">
      <c r="A21" s="18" t="s">
        <v>250</v>
      </c>
      <c r="B21" s="51"/>
      <c r="C21" s="51"/>
      <c r="D21" s="51"/>
      <c r="E21" s="49"/>
      <c r="F21" s="49"/>
      <c r="G21" s="49"/>
      <c r="H21" s="3"/>
      <c r="I21" s="3"/>
      <c r="J21" s="3"/>
      <c r="K21" s="4"/>
      <c r="L21" s="4"/>
      <c r="M21" s="4"/>
      <c r="N21" s="4"/>
    </row>
    <row r="22" customFormat="false" ht="15" hidden="false" customHeight="true" outlineLevel="0" collapsed="false">
      <c r="A22" s="18" t="s">
        <v>3</v>
      </c>
      <c r="B22" s="33" t="s">
        <v>251</v>
      </c>
      <c r="C22" s="33" t="s">
        <v>252</v>
      </c>
      <c r="D22" s="33" t="s">
        <v>253</v>
      </c>
      <c r="E22" s="49"/>
      <c r="F22" s="49"/>
      <c r="G22" s="49"/>
      <c r="H22" s="3"/>
      <c r="I22" s="3"/>
      <c r="J22" s="3"/>
      <c r="K22" s="4"/>
      <c r="L22" s="4"/>
      <c r="M22" s="4"/>
      <c r="N22" s="4"/>
    </row>
    <row r="23" customFormat="false" ht="18.75" hidden="false" customHeight="true" outlineLevel="0" collapsed="false">
      <c r="A23" s="46" t="s">
        <v>249</v>
      </c>
      <c r="B23" s="52" t="n">
        <v>1304</v>
      </c>
      <c r="C23" s="53" t="n">
        <f aca="false">D20</f>
        <v>1304</v>
      </c>
      <c r="D23" s="52" t="n">
        <f aca="false">C23-B23</f>
        <v>0</v>
      </c>
      <c r="H23" s="3"/>
      <c r="I23" s="3"/>
      <c r="J23" s="3"/>
      <c r="K23" s="4"/>
      <c r="L23" s="4"/>
      <c r="M23" s="4"/>
      <c r="N23" s="4"/>
    </row>
    <row r="24" customFormat="false" ht="15" hidden="false" customHeight="true" outlineLevel="0" collapsed="false">
      <c r="A24" s="54"/>
      <c r="B24" s="55"/>
      <c r="C24" s="55"/>
      <c r="D24" s="55"/>
      <c r="E24" s="55"/>
      <c r="F24" s="55"/>
      <c r="G24" s="56"/>
      <c r="H24" s="3"/>
      <c r="I24" s="3"/>
      <c r="J24" s="3"/>
      <c r="K24" s="4"/>
      <c r="L24" s="4"/>
      <c r="M24" s="4"/>
      <c r="N24" s="4"/>
    </row>
    <row r="25" customFormat="false" ht="15" hidden="false" customHeight="true" outlineLevel="0" collapsed="false">
      <c r="A25" s="46" t="s">
        <v>254</v>
      </c>
      <c r="B25" s="57"/>
      <c r="C25" s="57"/>
      <c r="D25" s="57"/>
      <c r="E25" s="57"/>
      <c r="F25" s="57"/>
      <c r="G25" s="57"/>
      <c r="H25" s="3"/>
      <c r="I25" s="3"/>
      <c r="J25" s="3"/>
      <c r="K25" s="4"/>
      <c r="L25" s="4"/>
      <c r="M25" s="4"/>
      <c r="N25" s="4"/>
    </row>
    <row r="26" customFormat="false" ht="15" hidden="false" customHeight="true" outlineLevel="0" collapsed="false">
      <c r="A26" s="58" t="s">
        <v>3</v>
      </c>
      <c r="B26" s="59" t="s">
        <v>136</v>
      </c>
      <c r="C26" s="59" t="s">
        <v>137</v>
      </c>
      <c r="D26" s="59" t="s">
        <v>255</v>
      </c>
      <c r="E26" s="59" t="s">
        <v>256</v>
      </c>
      <c r="F26" s="59" t="s">
        <v>257</v>
      </c>
      <c r="G26" s="59" t="s">
        <v>258</v>
      </c>
      <c r="H26" s="3"/>
      <c r="I26" s="3"/>
      <c r="J26" s="3"/>
      <c r="K26" s="4"/>
      <c r="L26" s="4"/>
      <c r="M26" s="4"/>
      <c r="N26" s="4"/>
    </row>
    <row r="27" customFormat="false" ht="15" hidden="false" customHeight="true" outlineLevel="0" collapsed="false">
      <c r="A27" s="18" t="s">
        <v>259</v>
      </c>
      <c r="B27" s="60" t="n">
        <f aca="false">Historicals!B24</f>
        <v>0.8</v>
      </c>
      <c r="C27" s="60" t="n">
        <f aca="false">Historicals!C24</f>
        <v>1</v>
      </c>
      <c r="D27" s="60" t="n">
        <f aca="false">Historicals!D24</f>
        <v>1</v>
      </c>
      <c r="E27" s="60" t="n">
        <f aca="false">Forecast!F35/Forecast!F12</f>
        <v>1.04415038059401</v>
      </c>
      <c r="F27" s="60" t="n">
        <f aca="false">Forecast!G35/Forecast!G12</f>
        <v>0.936858757712907</v>
      </c>
      <c r="G27" s="60" t="n">
        <f aca="false">Forecast!H35/Forecast!H12</f>
        <v>0.826600793717025</v>
      </c>
      <c r="H27" s="3"/>
      <c r="I27" s="3"/>
      <c r="J27" s="3"/>
      <c r="K27" s="4"/>
      <c r="L27" s="4"/>
      <c r="M27" s="4"/>
      <c r="N27" s="4"/>
    </row>
    <row r="28" customFormat="false" ht="15" hidden="false" customHeight="true" outlineLevel="0" collapsed="false">
      <c r="A28" s="18" t="s">
        <v>260</v>
      </c>
      <c r="B28" s="60" t="n">
        <f aca="false">Historicals!B25</f>
        <v>0.6</v>
      </c>
      <c r="C28" s="60" t="n">
        <f aca="false">Historicals!C25</f>
        <v>0.9</v>
      </c>
      <c r="D28" s="60" t="n">
        <f aca="false">Historicals!D25</f>
        <v>1</v>
      </c>
      <c r="E28" s="60" t="n">
        <f aca="false">Forecast!F39</f>
        <v>0.95350635262853</v>
      </c>
      <c r="F28" s="60" t="n">
        <f aca="false">Forecast!G39</f>
        <v>0.842152215930726</v>
      </c>
      <c r="G28" s="60" t="n">
        <f aca="false">Forecast!H39</f>
        <v>0.727782762204573</v>
      </c>
      <c r="H28" s="3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18" t="s">
        <v>97</v>
      </c>
      <c r="B29" s="61"/>
      <c r="C29" s="61"/>
      <c r="D29" s="61"/>
      <c r="E29" s="60" t="n">
        <f aca="false">Assumptions!$B$32</f>
        <v>3.5</v>
      </c>
      <c r="F29" s="60" t="n">
        <f aca="false">Assumptions!$B$32</f>
        <v>3.5</v>
      </c>
      <c r="G29" s="60" t="n">
        <f aca="false">Assumptions!$B$32</f>
        <v>3.5</v>
      </c>
      <c r="H29" s="3"/>
      <c r="I29" s="3"/>
      <c r="J29" s="3"/>
      <c r="K29" s="4"/>
      <c r="L29" s="4"/>
      <c r="M29" s="4"/>
      <c r="N29" s="4"/>
    </row>
    <row r="30" customFormat="false" ht="15" hidden="false" customHeight="true" outlineLevel="0" collapsed="false">
      <c r="A30" s="18" t="s">
        <v>99</v>
      </c>
      <c r="B30" s="61"/>
      <c r="C30" s="61"/>
      <c r="D30" s="61"/>
      <c r="E30" s="60" t="n">
        <f aca="false">Assumptions!$B$33</f>
        <v>3</v>
      </c>
      <c r="F30" s="60" t="n">
        <f aca="false">Assumptions!$B$33</f>
        <v>3</v>
      </c>
      <c r="G30" s="60" t="n">
        <f aca="false">Assumptions!$B$33</f>
        <v>3</v>
      </c>
      <c r="H30" s="3"/>
      <c r="I30" s="3"/>
      <c r="J30" s="3"/>
      <c r="K30" s="4"/>
      <c r="L30" s="4"/>
      <c r="M30" s="4"/>
      <c r="N30" s="4"/>
    </row>
    <row r="31" customFormat="false" ht="18.75" hidden="false" customHeight="true" outlineLevel="0" collapsed="false">
      <c r="A31" s="62" t="s">
        <v>261</v>
      </c>
      <c r="E31" s="63" t="n">
        <f aca="false">Forecast!F15/(-Forecast!F21)</f>
        <v>14.025218</v>
      </c>
      <c r="F31" s="63" t="n">
        <f aca="false">Forecast!G15/(-Forecast!G21)</f>
        <v>14.15997018</v>
      </c>
      <c r="G31" s="63" t="n">
        <f aca="false">Forecast!H15/(-Forecast!H21)</f>
        <v>14.2960698818</v>
      </c>
      <c r="H31" s="3"/>
      <c r="I31" s="3"/>
      <c r="J31" s="3"/>
      <c r="K31" s="4"/>
      <c r="L31" s="4"/>
      <c r="M31" s="4"/>
      <c r="N31" s="4"/>
    </row>
    <row r="32" customFormat="false" ht="15" hidden="false" customHeight="true" outlineLevel="0" collapsed="false">
      <c r="A32" s="54"/>
      <c r="B32" s="55"/>
      <c r="C32" s="56"/>
      <c r="D32" s="49"/>
      <c r="E32" s="49"/>
      <c r="F32" s="49"/>
      <c r="G32" s="49"/>
      <c r="H32" s="3"/>
      <c r="I32" s="3"/>
      <c r="J32" s="3"/>
      <c r="K32" s="4"/>
      <c r="L32" s="4"/>
      <c r="M32" s="4"/>
      <c r="N32" s="4"/>
    </row>
    <row r="33" customFormat="false" ht="15" hidden="false" customHeight="true" outlineLevel="0" collapsed="false">
      <c r="A33" s="46" t="s">
        <v>262</v>
      </c>
      <c r="B33" s="64"/>
      <c r="C33" s="65"/>
      <c r="D33" s="65"/>
      <c r="E33" s="65"/>
      <c r="F33" s="65"/>
      <c r="G33" s="65"/>
      <c r="H33" s="3"/>
      <c r="I33" s="3"/>
      <c r="J33" s="3"/>
      <c r="K33" s="4"/>
      <c r="L33" s="4"/>
      <c r="M33" s="4"/>
      <c r="N33" s="4"/>
    </row>
    <row r="34" customFormat="false" ht="15" hidden="false" customHeight="true" outlineLevel="0" collapsed="false">
      <c r="A34" s="58" t="s">
        <v>263</v>
      </c>
      <c r="B34" s="66" t="s">
        <v>264</v>
      </c>
      <c r="C34" s="67" t="s">
        <v>50</v>
      </c>
      <c r="D34" s="49"/>
      <c r="E34" s="49"/>
      <c r="F34" s="49"/>
      <c r="G34" s="49"/>
      <c r="H34" s="3"/>
      <c r="I34" s="3"/>
      <c r="J34" s="3"/>
      <c r="K34" s="4"/>
      <c r="L34" s="4"/>
      <c r="M34" s="4"/>
      <c r="N34" s="4"/>
    </row>
    <row r="35" customFormat="false" ht="15" hidden="false" customHeight="true" outlineLevel="0" collapsed="false">
      <c r="A35" s="18" t="s">
        <v>265</v>
      </c>
      <c r="B35" s="32" t="n">
        <v>360</v>
      </c>
      <c r="C35" s="33" t="s">
        <v>266</v>
      </c>
      <c r="D35" s="49"/>
      <c r="E35" s="49"/>
      <c r="F35" s="49"/>
      <c r="G35" s="49"/>
      <c r="H35" s="3"/>
      <c r="I35" s="3"/>
      <c r="J35" s="3"/>
      <c r="K35" s="4"/>
      <c r="L35" s="4"/>
      <c r="M35" s="4"/>
      <c r="N35" s="4"/>
    </row>
    <row r="36" customFormat="false" ht="34.5" hidden="false" customHeight="true" outlineLevel="0" collapsed="false">
      <c r="A36" s="18" t="s">
        <v>267</v>
      </c>
      <c r="B36" s="39" t="n">
        <v>300</v>
      </c>
      <c r="C36" s="33" t="s">
        <v>268</v>
      </c>
      <c r="D36" s="49"/>
      <c r="E36" s="49"/>
      <c r="F36" s="49"/>
      <c r="G36" s="49"/>
      <c r="H36" s="3"/>
      <c r="I36" s="3"/>
      <c r="J36" s="3"/>
      <c r="K36" s="4"/>
      <c r="L36" s="4"/>
      <c r="M36" s="4"/>
      <c r="N36" s="4"/>
    </row>
    <row r="37" customFormat="false" ht="45.75" hidden="false" customHeight="true" outlineLevel="0" collapsed="false">
      <c r="A37" s="18" t="s">
        <v>269</v>
      </c>
      <c r="B37" s="39" t="n">
        <f aca="false">B35-B36</f>
        <v>60</v>
      </c>
      <c r="C37" s="33" t="s">
        <v>270</v>
      </c>
      <c r="D37" s="49"/>
      <c r="E37" s="49"/>
      <c r="F37" s="49"/>
      <c r="G37" s="49"/>
      <c r="H37" s="3"/>
      <c r="I37" s="3"/>
      <c r="J37" s="3"/>
      <c r="K37" s="4"/>
      <c r="L37" s="4"/>
      <c r="M37" s="4"/>
      <c r="N37" s="4"/>
    </row>
    <row r="38" customFormat="false" ht="23.25" hidden="false" customHeight="true" outlineLevel="0" collapsed="false">
      <c r="A38" s="18" t="s">
        <v>271</v>
      </c>
      <c r="B38" s="39" t="n">
        <v>0</v>
      </c>
      <c r="C38" s="33" t="s">
        <v>272</v>
      </c>
      <c r="D38" s="49"/>
      <c r="E38" s="49"/>
      <c r="F38" s="49"/>
      <c r="G38" s="49"/>
      <c r="H38" s="3"/>
      <c r="I38" s="3"/>
      <c r="J38" s="3"/>
      <c r="K38" s="4"/>
      <c r="L38" s="4"/>
      <c r="M38" s="4"/>
      <c r="N38" s="4"/>
    </row>
    <row r="39" customFormat="false" ht="45.75" hidden="false" customHeight="true" outlineLevel="0" collapsed="false">
      <c r="A39" s="46" t="s">
        <v>273</v>
      </c>
      <c r="B39" s="68" t="n">
        <v>0</v>
      </c>
      <c r="C39" s="69" t="s">
        <v>274</v>
      </c>
      <c r="D39" s="65"/>
      <c r="E39" s="65"/>
      <c r="F39" s="65"/>
      <c r="G39" s="65"/>
      <c r="H39" s="3"/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45"/>
      <c r="B40" s="49"/>
      <c r="C40" s="49"/>
      <c r="D40" s="49"/>
      <c r="E40" s="49"/>
      <c r="F40" s="49"/>
      <c r="G40" s="49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18" t="s">
        <v>275</v>
      </c>
      <c r="B41" s="49"/>
      <c r="C41" s="49"/>
      <c r="D41" s="49"/>
      <c r="E41" s="49"/>
      <c r="F41" s="49"/>
      <c r="G41" s="49"/>
      <c r="H41" s="3"/>
      <c r="I41" s="3"/>
      <c r="J41" s="3"/>
      <c r="K41" s="4"/>
      <c r="L41" s="4"/>
      <c r="M41" s="4"/>
      <c r="N41" s="4"/>
    </row>
    <row r="42" customFormat="false" ht="57" hidden="false" customHeight="true" outlineLevel="0" collapsed="false">
      <c r="A42" s="46" t="s">
        <v>276</v>
      </c>
      <c r="B42" s="65"/>
      <c r="C42" s="65"/>
      <c r="D42" s="65"/>
      <c r="E42" s="65"/>
      <c r="F42" s="65"/>
      <c r="G42" s="65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45"/>
      <c r="B43" s="49"/>
      <c r="C43" s="49"/>
      <c r="D43" s="49"/>
      <c r="E43" s="49"/>
      <c r="F43" s="49"/>
      <c r="G43" s="49"/>
      <c r="H43" s="3"/>
      <c r="I43" s="3"/>
      <c r="J43" s="3"/>
      <c r="K43" s="4"/>
      <c r="L43" s="4"/>
      <c r="M43" s="4"/>
      <c r="N43" s="4"/>
    </row>
    <row r="44" customFormat="false" ht="15" hidden="false" customHeight="true" outlineLevel="0" collapsed="false">
      <c r="A44" s="45"/>
      <c r="B44" s="49"/>
      <c r="C44" s="49"/>
      <c r="D44" s="49"/>
      <c r="E44" s="49"/>
      <c r="F44" s="49"/>
      <c r="G44" s="49"/>
      <c r="H44" s="3"/>
      <c r="I44" s="3"/>
      <c r="J44" s="3"/>
      <c r="K44" s="4"/>
      <c r="L44" s="4"/>
      <c r="M44" s="4"/>
      <c r="N44" s="4"/>
    </row>
    <row r="45" customFormat="false" ht="15" hidden="false" customHeight="true" outlineLevel="0" collapsed="false">
      <c r="A45" s="45"/>
      <c r="B45" s="49"/>
      <c r="C45" s="49"/>
      <c r="D45" s="49"/>
      <c r="E45" s="49"/>
      <c r="F45" s="49"/>
      <c r="G45" s="49"/>
      <c r="H45" s="3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4">
    <mergeCell ref="A1:G1"/>
    <mergeCell ref="A2:G2"/>
    <mergeCell ref="A4:G4"/>
    <mergeCell ref="A12:G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28"/>
    <col collapsed="false" customWidth="true" hidden="false" outlineLevel="0" max="8" min="7" style="1" width="1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48" t="s">
        <v>277</v>
      </c>
      <c r="B1" s="48"/>
      <c r="C1" s="48"/>
      <c r="D1" s="48"/>
      <c r="E1" s="48"/>
      <c r="F1" s="48"/>
      <c r="G1" s="65"/>
      <c r="H1" s="3"/>
      <c r="I1" s="3"/>
      <c r="J1" s="3"/>
      <c r="K1" s="4"/>
      <c r="L1" s="4"/>
      <c r="M1" s="4"/>
      <c r="N1" s="4"/>
    </row>
    <row r="2" customFormat="false" ht="30" hidden="false" customHeight="true" outlineLevel="0" collapsed="false">
      <c r="A2" s="5" t="s">
        <v>278</v>
      </c>
      <c r="B2" s="5"/>
      <c r="C2" s="5"/>
      <c r="D2" s="5"/>
      <c r="E2" s="5"/>
      <c r="F2" s="5"/>
      <c r="G2" s="49"/>
      <c r="H2" s="3"/>
      <c r="I2" s="3"/>
      <c r="J2" s="3"/>
      <c r="K2" s="4"/>
      <c r="L2" s="4"/>
      <c r="M2" s="4"/>
      <c r="N2" s="4"/>
    </row>
    <row r="3" customFormat="false" ht="15" hidden="false" customHeight="true" outlineLevel="0" collapsed="false">
      <c r="A3" s="45"/>
      <c r="B3" s="49"/>
      <c r="C3" s="49"/>
      <c r="D3" s="49"/>
      <c r="E3" s="49"/>
      <c r="F3" s="49"/>
      <c r="G3" s="49"/>
      <c r="H3" s="3"/>
      <c r="I3" s="3"/>
      <c r="J3" s="3"/>
      <c r="K3" s="4"/>
      <c r="L3" s="4"/>
      <c r="M3" s="4"/>
      <c r="N3" s="4"/>
    </row>
    <row r="4" customFormat="false" ht="18.75" hidden="false" customHeight="true" outlineLevel="0" collapsed="false">
      <c r="A4" s="70" t="s">
        <v>279</v>
      </c>
      <c r="B4" s="70"/>
      <c r="C4" s="70"/>
      <c r="D4" s="70"/>
      <c r="E4" s="70"/>
      <c r="F4" s="70"/>
      <c r="G4" s="71"/>
      <c r="H4" s="3"/>
      <c r="I4" s="3"/>
      <c r="J4" s="3"/>
      <c r="K4" s="4"/>
      <c r="L4" s="4"/>
      <c r="M4" s="4"/>
      <c r="N4" s="4"/>
    </row>
    <row r="5" customFormat="false" ht="15" hidden="false" customHeight="true" outlineLevel="0" collapsed="false">
      <c r="A5" s="8" t="s">
        <v>280</v>
      </c>
      <c r="B5" s="17" t="s">
        <v>281</v>
      </c>
      <c r="C5" s="17" t="s">
        <v>282</v>
      </c>
      <c r="D5" s="17" t="s">
        <v>283</v>
      </c>
      <c r="E5" s="17" t="s">
        <v>284</v>
      </c>
      <c r="F5" s="9" t="s">
        <v>285</v>
      </c>
      <c r="G5" s="71"/>
      <c r="H5" s="3"/>
      <c r="I5" s="3"/>
      <c r="J5" s="3"/>
      <c r="K5" s="4"/>
      <c r="L5" s="4"/>
      <c r="M5" s="4"/>
      <c r="N5" s="4"/>
    </row>
    <row r="6" customFormat="false" ht="54" hidden="false" customHeight="true" outlineLevel="0" collapsed="false">
      <c r="A6" s="58" t="s">
        <v>286</v>
      </c>
      <c r="B6" s="33" t="s">
        <v>287</v>
      </c>
      <c r="C6" s="33" t="s">
        <v>288</v>
      </c>
      <c r="D6" s="33" t="s">
        <v>289</v>
      </c>
      <c r="E6" s="33" t="s">
        <v>290</v>
      </c>
      <c r="F6" s="33" t="s">
        <v>291</v>
      </c>
      <c r="G6" s="49"/>
      <c r="H6" s="3"/>
      <c r="I6" s="3"/>
      <c r="J6" s="3"/>
      <c r="K6" s="4"/>
      <c r="L6" s="4"/>
      <c r="M6" s="4"/>
      <c r="N6" s="4"/>
    </row>
    <row r="7" customFormat="false" ht="54" hidden="false" customHeight="true" outlineLevel="0" collapsed="false">
      <c r="A7" s="58" t="s">
        <v>292</v>
      </c>
      <c r="B7" s="33" t="s">
        <v>293</v>
      </c>
      <c r="C7" s="33" t="s">
        <v>294</v>
      </c>
      <c r="D7" s="33" t="s">
        <v>295</v>
      </c>
      <c r="E7" s="33" t="s">
        <v>296</v>
      </c>
      <c r="F7" s="33" t="s">
        <v>297</v>
      </c>
      <c r="G7" s="49"/>
      <c r="H7" s="3"/>
      <c r="I7" s="3"/>
      <c r="J7" s="3"/>
      <c r="K7" s="4"/>
      <c r="L7" s="4"/>
      <c r="M7" s="4"/>
      <c r="N7" s="4"/>
    </row>
    <row r="8" customFormat="false" ht="54" hidden="false" customHeight="true" outlineLevel="0" collapsed="false">
      <c r="A8" s="58" t="s">
        <v>298</v>
      </c>
      <c r="B8" s="33" t="s">
        <v>299</v>
      </c>
      <c r="C8" s="33" t="s">
        <v>300</v>
      </c>
      <c r="D8" s="33" t="s">
        <v>301</v>
      </c>
      <c r="E8" s="33" t="s">
        <v>302</v>
      </c>
      <c r="F8" s="33" t="s">
        <v>303</v>
      </c>
      <c r="G8" s="49"/>
      <c r="H8" s="3"/>
      <c r="I8" s="3"/>
      <c r="J8" s="3"/>
      <c r="K8" s="4"/>
      <c r="L8" s="4"/>
      <c r="M8" s="4"/>
      <c r="N8" s="4"/>
    </row>
    <row r="9" customFormat="false" ht="54" hidden="false" customHeight="true" outlineLevel="0" collapsed="false">
      <c r="A9" s="58" t="s">
        <v>304</v>
      </c>
      <c r="B9" s="33" t="s">
        <v>305</v>
      </c>
      <c r="C9" s="33" t="s">
        <v>306</v>
      </c>
      <c r="D9" s="33" t="s">
        <v>307</v>
      </c>
      <c r="E9" s="33" t="s">
        <v>308</v>
      </c>
      <c r="F9" s="33" t="s">
        <v>309</v>
      </c>
      <c r="G9" s="49"/>
      <c r="H9" s="3"/>
      <c r="I9" s="3"/>
      <c r="J9" s="3"/>
      <c r="K9" s="4"/>
      <c r="L9" s="4"/>
      <c r="M9" s="4"/>
      <c r="N9" s="4"/>
    </row>
    <row r="10" customFormat="false" ht="54" hidden="false" customHeight="true" outlineLevel="0" collapsed="false">
      <c r="A10" s="58" t="s">
        <v>310</v>
      </c>
      <c r="B10" s="33" t="s">
        <v>311</v>
      </c>
      <c r="C10" s="33" t="s">
        <v>312</v>
      </c>
      <c r="D10" s="33" t="s">
        <v>313</v>
      </c>
      <c r="E10" s="33" t="s">
        <v>314</v>
      </c>
      <c r="F10" s="33" t="s">
        <v>315</v>
      </c>
      <c r="G10" s="49"/>
      <c r="H10" s="3"/>
      <c r="I10" s="3"/>
      <c r="J10" s="3"/>
      <c r="K10" s="4"/>
      <c r="L10" s="4"/>
      <c r="M10" s="4"/>
      <c r="N10" s="4"/>
    </row>
    <row r="11" customFormat="false" ht="15" hidden="false" customHeight="true" outlineLevel="0" collapsed="false">
      <c r="A11" s="45"/>
      <c r="B11" s="49"/>
      <c r="C11" s="49"/>
      <c r="D11" s="49"/>
      <c r="E11" s="49"/>
      <c r="F11" s="49"/>
      <c r="G11" s="49"/>
      <c r="H11" s="3"/>
      <c r="I11" s="3"/>
      <c r="J11" s="3"/>
      <c r="K11" s="4"/>
      <c r="L11" s="4"/>
      <c r="M11" s="4"/>
      <c r="N11" s="4"/>
    </row>
    <row r="12" customFormat="false" ht="18.75" hidden="false" customHeight="true" outlineLevel="0" collapsed="false">
      <c r="A12" s="46" t="s">
        <v>316</v>
      </c>
      <c r="B12" s="46"/>
      <c r="C12" s="46"/>
      <c r="D12" s="46"/>
      <c r="E12" s="46"/>
      <c r="F12" s="46"/>
      <c r="G12" s="65"/>
      <c r="H12" s="3"/>
      <c r="I12" s="3"/>
      <c r="J12" s="3"/>
      <c r="K12" s="4"/>
      <c r="L12" s="4"/>
      <c r="M12" s="4"/>
      <c r="N12" s="4"/>
    </row>
    <row r="13" customFormat="false" ht="15" hidden="false" customHeight="true" outlineLevel="0" collapsed="false">
      <c r="A13" s="8" t="s">
        <v>3</v>
      </c>
      <c r="B13" s="17" t="s">
        <v>59</v>
      </c>
      <c r="C13" s="9" t="s">
        <v>317</v>
      </c>
      <c r="D13" s="49"/>
      <c r="E13" s="49"/>
      <c r="F13" s="49"/>
      <c r="G13" s="49"/>
      <c r="H13" s="3"/>
      <c r="I13" s="3"/>
      <c r="J13" s="3"/>
      <c r="K13" s="4"/>
      <c r="L13" s="4"/>
      <c r="M13" s="4"/>
      <c r="N13" s="4"/>
    </row>
    <row r="14" customFormat="false" ht="15" hidden="false" customHeight="true" outlineLevel="0" collapsed="false">
      <c r="A14" s="18" t="s">
        <v>318</v>
      </c>
      <c r="B14" s="72" t="n">
        <v>3752</v>
      </c>
      <c r="C14" s="33" t="s">
        <v>319</v>
      </c>
      <c r="D14" s="49"/>
      <c r="E14" s="49"/>
      <c r="F14" s="49"/>
      <c r="G14" s="49"/>
      <c r="H14" s="3"/>
      <c r="I14" s="3"/>
      <c r="J14" s="3"/>
      <c r="K14" s="4"/>
      <c r="L14" s="4"/>
      <c r="M14" s="4"/>
      <c r="N14" s="4"/>
    </row>
    <row r="15" customFormat="false" ht="15" hidden="false" customHeight="true" outlineLevel="0" collapsed="false">
      <c r="A15" s="18" t="s">
        <v>320</v>
      </c>
      <c r="B15" s="73" t="n">
        <v>0.7</v>
      </c>
      <c r="C15" s="33" t="s">
        <v>321</v>
      </c>
      <c r="D15" s="49"/>
      <c r="E15" s="49"/>
      <c r="F15" s="49"/>
      <c r="G15" s="49"/>
      <c r="H15" s="3"/>
      <c r="I15" s="3"/>
      <c r="J15" s="3"/>
      <c r="K15" s="4"/>
      <c r="L15" s="4"/>
      <c r="M15" s="4"/>
      <c r="N15" s="4"/>
    </row>
    <row r="16" customFormat="false" ht="15" hidden="false" customHeight="true" outlineLevel="0" collapsed="false">
      <c r="A16" s="18" t="s">
        <v>322</v>
      </c>
      <c r="B16" s="72" t="n">
        <v>300</v>
      </c>
      <c r="C16" s="33" t="s">
        <v>323</v>
      </c>
      <c r="D16" s="49"/>
      <c r="E16" s="49"/>
      <c r="F16" s="49"/>
      <c r="G16" s="49"/>
      <c r="H16" s="3"/>
      <c r="I16" s="3"/>
      <c r="J16" s="3"/>
      <c r="K16" s="4"/>
      <c r="L16" s="4"/>
      <c r="M16" s="4"/>
      <c r="N16" s="4"/>
    </row>
    <row r="17" customFormat="false" ht="15" hidden="false" customHeight="true" outlineLevel="0" collapsed="false">
      <c r="A17" s="18" t="s">
        <v>324</v>
      </c>
      <c r="B17" s="74" t="n">
        <f aca="false">B16/B15</f>
        <v>428.571428571429</v>
      </c>
      <c r="C17" s="33" t="s">
        <v>325</v>
      </c>
      <c r="D17" s="49"/>
      <c r="E17" s="49"/>
      <c r="F17" s="49"/>
      <c r="G17" s="49"/>
      <c r="H17" s="3"/>
      <c r="I17" s="3"/>
      <c r="J17" s="3"/>
      <c r="K17" s="4"/>
      <c r="L17" s="4"/>
      <c r="M17" s="4"/>
      <c r="N17" s="4"/>
    </row>
    <row r="18" customFormat="false" ht="15" hidden="false" customHeight="true" outlineLevel="0" collapsed="false">
      <c r="A18" s="18" t="s">
        <v>326</v>
      </c>
      <c r="B18" s="74" t="n">
        <f aca="false">B14+B17</f>
        <v>4180.57142857143</v>
      </c>
      <c r="C18" s="33" t="s">
        <v>327</v>
      </c>
      <c r="D18" s="49"/>
      <c r="E18" s="49"/>
      <c r="F18" s="49"/>
      <c r="G18" s="49"/>
      <c r="H18" s="3"/>
      <c r="I18" s="3"/>
      <c r="J18" s="3"/>
      <c r="K18" s="4"/>
      <c r="L18" s="4"/>
      <c r="M18" s="4"/>
      <c r="N18" s="4"/>
    </row>
    <row r="19" customFormat="false" ht="15" hidden="false" customHeight="true" outlineLevel="0" collapsed="false">
      <c r="A19" s="18" t="s">
        <v>328</v>
      </c>
      <c r="B19" s="75" t="n">
        <f aca="false">B17/B18</f>
        <v>0.102515035538546</v>
      </c>
      <c r="C19" s="33" t="s">
        <v>329</v>
      </c>
      <c r="D19" s="49"/>
      <c r="E19" s="49"/>
      <c r="F19" s="49"/>
      <c r="G19" s="49"/>
      <c r="H19" s="3"/>
      <c r="I19" s="3"/>
      <c r="J19" s="3"/>
      <c r="K19" s="4"/>
      <c r="L19" s="4"/>
      <c r="M19" s="4"/>
      <c r="N19" s="4"/>
    </row>
    <row r="20" customFormat="false" ht="15" hidden="false" customHeight="true" outlineLevel="0" collapsed="false">
      <c r="A20" s="45"/>
      <c r="B20" s="49"/>
      <c r="C20" s="49"/>
      <c r="D20" s="49"/>
      <c r="E20" s="49"/>
      <c r="F20" s="49"/>
      <c r="G20" s="49"/>
      <c r="H20" s="3"/>
      <c r="I20" s="3"/>
      <c r="J20" s="3"/>
      <c r="K20" s="4"/>
      <c r="L20" s="4"/>
      <c r="M20" s="4"/>
      <c r="N20" s="4"/>
    </row>
    <row r="21" customFormat="false" ht="15" hidden="false" customHeight="true" outlineLevel="0" collapsed="false">
      <c r="A21" s="46" t="s">
        <v>330</v>
      </c>
      <c r="B21" s="65"/>
      <c r="C21" s="65"/>
      <c r="D21" s="65"/>
      <c r="E21" s="65"/>
      <c r="F21" s="65"/>
      <c r="G21" s="65"/>
      <c r="H21" s="3"/>
      <c r="I21" s="3"/>
      <c r="J21" s="3"/>
      <c r="K21" s="4"/>
      <c r="L21" s="4"/>
      <c r="M21" s="4"/>
      <c r="N21" s="4"/>
    </row>
    <row r="22" customFormat="false" ht="90.75" hidden="false" customHeight="true" outlineLevel="0" collapsed="false">
      <c r="A22" s="58" t="s">
        <v>331</v>
      </c>
      <c r="B22" s="71"/>
      <c r="C22" s="71"/>
      <c r="D22" s="71"/>
      <c r="E22" s="71"/>
      <c r="F22" s="71"/>
      <c r="G22" s="71"/>
      <c r="H22" s="3"/>
      <c r="I22" s="3"/>
      <c r="J22" s="3"/>
      <c r="K22" s="4"/>
      <c r="L22" s="4"/>
      <c r="M22" s="4"/>
      <c r="N22" s="4"/>
    </row>
    <row r="23" customFormat="false" ht="15" hidden="false" customHeight="true" outlineLevel="0" collapsed="false">
      <c r="A23" s="45"/>
      <c r="B23" s="49"/>
      <c r="C23" s="49"/>
      <c r="D23" s="49"/>
      <c r="E23" s="49"/>
      <c r="F23" s="49"/>
      <c r="G23" s="49"/>
      <c r="H23" s="3"/>
      <c r="I23" s="3"/>
      <c r="J23" s="3"/>
      <c r="K23" s="4"/>
      <c r="L23" s="4"/>
      <c r="M23" s="4"/>
      <c r="N23" s="4"/>
    </row>
    <row r="24" customFormat="false" ht="15" hidden="false" customHeight="true" outlineLevel="0" collapsed="false">
      <c r="A24" s="46" t="s">
        <v>332</v>
      </c>
      <c r="B24" s="65"/>
      <c r="C24" s="65"/>
      <c r="D24" s="65"/>
      <c r="E24" s="65"/>
      <c r="F24" s="65"/>
      <c r="G24" s="65"/>
      <c r="H24" s="3"/>
      <c r="I24" s="3"/>
      <c r="J24" s="3"/>
      <c r="K24" s="4"/>
      <c r="L24" s="4"/>
      <c r="M24" s="4"/>
      <c r="N24" s="4"/>
    </row>
    <row r="25" customFormat="false" ht="15" hidden="false" customHeight="true" outlineLevel="0" collapsed="false">
      <c r="A25" s="58" t="s">
        <v>28</v>
      </c>
      <c r="B25" s="67" t="s">
        <v>333</v>
      </c>
      <c r="C25" s="67" t="s">
        <v>334</v>
      </c>
      <c r="D25" s="49"/>
      <c r="E25" s="49"/>
      <c r="F25" s="49"/>
      <c r="G25" s="49"/>
      <c r="H25" s="3"/>
      <c r="I25" s="3"/>
      <c r="J25" s="3"/>
      <c r="K25" s="4"/>
      <c r="L25" s="4"/>
      <c r="M25" s="4"/>
      <c r="N25" s="4"/>
    </row>
    <row r="26" customFormat="false" ht="15" hidden="false" customHeight="true" outlineLevel="0" collapsed="false">
      <c r="A26" s="58" t="s">
        <v>335</v>
      </c>
      <c r="B26" s="76" t="n">
        <v>5</v>
      </c>
      <c r="C26" s="76" t="n">
        <v>2.5</v>
      </c>
      <c r="D26" s="49"/>
      <c r="E26" s="49"/>
      <c r="F26" s="49"/>
      <c r="G26" s="49"/>
      <c r="H26" s="3"/>
      <c r="I26" s="3"/>
      <c r="J26" s="3"/>
      <c r="K26" s="4"/>
      <c r="L26" s="4"/>
      <c r="M26" s="4"/>
      <c r="N26" s="4"/>
    </row>
    <row r="27" customFormat="false" ht="15" hidden="false" customHeight="true" outlineLevel="0" collapsed="false">
      <c r="A27" s="18" t="s">
        <v>336</v>
      </c>
      <c r="B27" s="77" t="n">
        <v>3752</v>
      </c>
      <c r="C27" s="77" t="n">
        <v>3752</v>
      </c>
      <c r="D27" s="49"/>
      <c r="E27" s="49"/>
      <c r="F27" s="49"/>
      <c r="G27" s="49"/>
      <c r="H27" s="3"/>
      <c r="I27" s="3"/>
      <c r="J27" s="3"/>
      <c r="K27" s="4"/>
      <c r="L27" s="4"/>
      <c r="M27" s="4"/>
      <c r="N27" s="4"/>
    </row>
    <row r="28" customFormat="false" ht="15" hidden="false" customHeight="true" outlineLevel="0" collapsed="false">
      <c r="A28" s="18" t="s">
        <v>337</v>
      </c>
      <c r="B28" s="74" t="n">
        <f aca="false">B26*B27/100</f>
        <v>187.6</v>
      </c>
      <c r="C28" s="74" t="n">
        <f aca="false">C26*C27/100</f>
        <v>93.8</v>
      </c>
      <c r="D28" s="49"/>
      <c r="E28" s="49"/>
      <c r="F28" s="49"/>
      <c r="G28" s="49"/>
      <c r="H28" s="3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18" t="s">
        <v>338</v>
      </c>
      <c r="B29" s="74" t="n">
        <f aca="false">0</f>
        <v>0</v>
      </c>
      <c r="C29" s="74" t="n">
        <f aca="false">B28-C28</f>
        <v>93.8</v>
      </c>
      <c r="D29" s="49"/>
      <c r="E29" s="49"/>
      <c r="F29" s="49"/>
      <c r="G29" s="49"/>
      <c r="H29" s="3"/>
      <c r="I29" s="3"/>
      <c r="J29" s="3"/>
      <c r="K29" s="4"/>
      <c r="L29" s="4"/>
      <c r="M29" s="4"/>
      <c r="N29" s="4"/>
    </row>
    <row r="30" customFormat="false" ht="15" hidden="false" customHeight="true" outlineLevel="0" collapsed="false">
      <c r="A30" s="45"/>
      <c r="B30" s="78"/>
      <c r="C30" s="49"/>
      <c r="D30" s="49"/>
      <c r="E30" s="49"/>
      <c r="F30" s="49"/>
      <c r="G30" s="49"/>
      <c r="H30" s="3"/>
      <c r="I30" s="3"/>
      <c r="J30" s="3"/>
      <c r="K30" s="4"/>
      <c r="L30" s="4"/>
      <c r="M30" s="4"/>
      <c r="N30" s="4"/>
    </row>
    <row r="31" customFormat="false" ht="23.25" hidden="false" customHeight="true" outlineLevel="0" collapsed="false">
      <c r="A31" s="46" t="s">
        <v>339</v>
      </c>
      <c r="B31" s="65"/>
      <c r="C31" s="65"/>
      <c r="D31" s="65"/>
      <c r="E31" s="65"/>
      <c r="F31" s="65"/>
      <c r="G31" s="65"/>
      <c r="H31" s="3"/>
      <c r="I31" s="3"/>
      <c r="J31" s="3"/>
      <c r="K31" s="4"/>
      <c r="L31" s="4"/>
      <c r="M31" s="4"/>
      <c r="N31" s="4"/>
    </row>
    <row r="32" customFormat="false" ht="15" hidden="false" customHeight="true" outlineLevel="0" collapsed="false">
      <c r="A32" s="58" t="s">
        <v>28</v>
      </c>
      <c r="B32" s="67" t="s">
        <v>340</v>
      </c>
      <c r="C32" s="67" t="s">
        <v>29</v>
      </c>
      <c r="D32" s="49"/>
      <c r="E32" s="49"/>
      <c r="F32" s="49"/>
      <c r="G32" s="49"/>
      <c r="H32" s="3"/>
      <c r="I32" s="3"/>
      <c r="J32" s="3"/>
      <c r="K32" s="4"/>
      <c r="L32" s="4"/>
      <c r="M32" s="4"/>
      <c r="N32" s="4"/>
    </row>
    <row r="33" customFormat="false" ht="23.25" hidden="false" customHeight="true" outlineLevel="0" collapsed="false">
      <c r="A33" s="58" t="s">
        <v>341</v>
      </c>
      <c r="B33" s="66" t="n">
        <v>1200</v>
      </c>
      <c r="C33" s="67" t="s">
        <v>122</v>
      </c>
      <c r="D33" s="49"/>
      <c r="E33" s="49"/>
      <c r="F33" s="49"/>
      <c r="G33" s="49"/>
      <c r="H33" s="3"/>
      <c r="I33" s="3"/>
      <c r="J33" s="3"/>
      <c r="K33" s="4"/>
      <c r="L33" s="4"/>
      <c r="M33" s="4"/>
      <c r="N33" s="4"/>
    </row>
    <row r="34" customFormat="false" ht="23.25" hidden="false" customHeight="true" outlineLevel="0" collapsed="false">
      <c r="A34" s="58" t="s">
        <v>342</v>
      </c>
      <c r="B34" s="66" t="n">
        <v>200</v>
      </c>
      <c r="C34" s="67" t="s">
        <v>123</v>
      </c>
      <c r="D34" s="49"/>
      <c r="E34" s="49"/>
      <c r="F34" s="49"/>
      <c r="G34" s="49"/>
      <c r="H34" s="3"/>
      <c r="I34" s="3"/>
      <c r="J34" s="3"/>
      <c r="K34" s="4"/>
      <c r="L34" s="4"/>
      <c r="M34" s="4"/>
      <c r="N34" s="4"/>
    </row>
    <row r="35" customFormat="false" ht="15" hidden="false" customHeight="true" outlineLevel="0" collapsed="false">
      <c r="A35" s="18" t="s">
        <v>343</v>
      </c>
      <c r="B35" s="39" t="n">
        <v>200</v>
      </c>
      <c r="C35" s="33" t="s">
        <v>344</v>
      </c>
      <c r="D35" s="49"/>
      <c r="E35" s="49"/>
      <c r="F35" s="49"/>
      <c r="G35" s="49"/>
      <c r="H35" s="3"/>
      <c r="I35" s="3"/>
      <c r="J35" s="3"/>
      <c r="K35" s="4"/>
      <c r="L35" s="4"/>
      <c r="M35" s="4"/>
      <c r="N35" s="4"/>
    </row>
    <row r="36" customFormat="false" ht="23.25" hidden="false" customHeight="true" outlineLevel="0" collapsed="false">
      <c r="A36" s="18" t="s">
        <v>345</v>
      </c>
      <c r="B36" s="39" t="n">
        <v>185</v>
      </c>
      <c r="C36" s="33" t="s">
        <v>346</v>
      </c>
      <c r="D36" s="49"/>
      <c r="E36" s="49"/>
      <c r="F36" s="49"/>
      <c r="G36" s="49"/>
      <c r="H36" s="3"/>
      <c r="I36" s="3"/>
      <c r="J36" s="3"/>
      <c r="K36" s="4"/>
      <c r="L36" s="4"/>
      <c r="M36" s="4"/>
      <c r="N36" s="4"/>
    </row>
    <row r="37" customFormat="false" ht="15" hidden="false" customHeight="true" outlineLevel="0" collapsed="false">
      <c r="A37" s="18" t="s">
        <v>347</v>
      </c>
      <c r="B37" s="39" t="n">
        <v>950</v>
      </c>
      <c r="C37" s="33" t="s">
        <v>126</v>
      </c>
      <c r="D37" s="49"/>
      <c r="E37" s="49"/>
      <c r="F37" s="49"/>
      <c r="G37" s="49"/>
      <c r="H37" s="3"/>
      <c r="I37" s="3"/>
      <c r="J37" s="3"/>
      <c r="K37" s="4"/>
      <c r="L37" s="4"/>
      <c r="M37" s="4"/>
      <c r="N37" s="4"/>
    </row>
    <row r="38" customFormat="false" ht="15" hidden="false" customHeight="true" outlineLevel="0" collapsed="false">
      <c r="A38" s="18" t="s">
        <v>348</v>
      </c>
      <c r="B38" s="39" t="s">
        <v>128</v>
      </c>
      <c r="C38" s="33" t="s">
        <v>129</v>
      </c>
      <c r="D38" s="49"/>
      <c r="E38" s="49"/>
      <c r="F38" s="49"/>
      <c r="G38" s="49"/>
      <c r="H38" s="3"/>
      <c r="I38" s="3"/>
      <c r="J38" s="3"/>
      <c r="K38" s="4"/>
      <c r="L38" s="4"/>
      <c r="M38" s="4"/>
      <c r="N38" s="4"/>
    </row>
    <row r="39" customFormat="false" ht="23.25" hidden="false" customHeight="true" outlineLevel="0" collapsed="false">
      <c r="A39" s="46" t="s">
        <v>349</v>
      </c>
      <c r="B39" s="64"/>
      <c r="C39" s="65"/>
      <c r="D39" s="65"/>
      <c r="E39" s="65"/>
      <c r="F39" s="65"/>
      <c r="G39" s="65"/>
      <c r="H39" s="3"/>
      <c r="I39" s="3"/>
      <c r="J39" s="3"/>
      <c r="K39" s="4"/>
      <c r="L39" s="4"/>
      <c r="M39" s="4"/>
      <c r="N39" s="4"/>
    </row>
    <row r="40" customFormat="false" ht="68.25" hidden="false" customHeight="true" outlineLevel="0" collapsed="false">
      <c r="A40" s="18" t="s">
        <v>350</v>
      </c>
      <c r="B40" s="51"/>
      <c r="C40" s="49"/>
      <c r="D40" s="49"/>
      <c r="E40" s="49"/>
      <c r="F40" s="49"/>
      <c r="G40" s="49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79"/>
      <c r="B41" s="71"/>
      <c r="C41" s="71"/>
      <c r="D41" s="71"/>
      <c r="E41" s="71"/>
      <c r="F41" s="71"/>
      <c r="G41" s="71"/>
      <c r="H41" s="3"/>
      <c r="I41" s="3"/>
      <c r="J41" s="3"/>
      <c r="K41" s="4"/>
      <c r="L41" s="4"/>
      <c r="M41" s="4"/>
      <c r="N41" s="4"/>
    </row>
    <row r="42" customFormat="false" ht="15" hidden="false" customHeight="true" outlineLevel="0" collapsed="false">
      <c r="A42" s="45"/>
      <c r="B42" s="49"/>
      <c r="C42" s="49"/>
      <c r="D42" s="49"/>
      <c r="E42" s="49"/>
      <c r="F42" s="49"/>
      <c r="G42" s="49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45"/>
      <c r="B43" s="49"/>
      <c r="C43" s="49"/>
      <c r="D43" s="49"/>
      <c r="E43" s="49"/>
      <c r="F43" s="49"/>
      <c r="G43" s="49"/>
      <c r="H43" s="3"/>
      <c r="I43" s="3"/>
      <c r="J43" s="3"/>
      <c r="K43" s="4"/>
      <c r="L43" s="4"/>
      <c r="M43" s="4"/>
      <c r="N43" s="4"/>
    </row>
    <row r="44" customFormat="false" ht="15" hidden="false" customHeight="true" outlineLevel="0" collapsed="false">
      <c r="A44" s="45"/>
      <c r="B44" s="49"/>
      <c r="C44" s="49"/>
      <c r="D44" s="49"/>
      <c r="E44" s="49"/>
      <c r="F44" s="49"/>
      <c r="G44" s="49"/>
      <c r="H44" s="3"/>
      <c r="I44" s="3"/>
      <c r="J44" s="3"/>
      <c r="K44" s="4"/>
      <c r="L44" s="4"/>
      <c r="M44" s="4"/>
      <c r="N44" s="4"/>
    </row>
    <row r="45" customFormat="false" ht="15" hidden="false" customHeight="true" outlineLevel="0" collapsed="false">
      <c r="A45" s="45"/>
      <c r="B45" s="49"/>
      <c r="C45" s="49"/>
      <c r="D45" s="49"/>
      <c r="E45" s="49"/>
      <c r="F45" s="49"/>
      <c r="G45" s="49"/>
      <c r="H45" s="3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4">
    <mergeCell ref="A1:F1"/>
    <mergeCell ref="A2:F2"/>
    <mergeCell ref="A4:F4"/>
    <mergeCell ref="A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8"/>
    <col collapsed="false" customWidth="true" hidden="false" outlineLevel="0" max="9" min="9" style="1" width="20"/>
    <col collapsed="false" customWidth="true" hidden="false" outlineLevel="0" max="10" min="10" style="1" width="46"/>
  </cols>
  <sheetData>
    <row r="1" customFormat="false" ht="24" hidden="false" customHeight="true" outlineLevel="0" collapsed="false">
      <c r="A1" s="48" t="s">
        <v>351</v>
      </c>
      <c r="B1" s="48"/>
      <c r="C1" s="48"/>
      <c r="D1" s="48"/>
      <c r="E1" s="48"/>
      <c r="F1" s="48"/>
      <c r="G1" s="48"/>
      <c r="H1" s="48"/>
      <c r="I1" s="48"/>
      <c r="J1" s="48"/>
      <c r="K1" s="4"/>
      <c r="L1" s="4"/>
      <c r="M1" s="4"/>
      <c r="N1" s="4"/>
    </row>
    <row r="2" customFormat="false" ht="30" hidden="false" customHeight="true" outlineLevel="0" collapsed="false">
      <c r="A2" s="5" t="s">
        <v>352</v>
      </c>
      <c r="B2" s="5"/>
      <c r="C2" s="5"/>
      <c r="D2" s="5"/>
      <c r="E2" s="5"/>
      <c r="F2" s="5"/>
      <c r="G2" s="5"/>
      <c r="H2" s="5"/>
      <c r="I2" s="5"/>
      <c r="J2" s="5"/>
      <c r="K2" s="4"/>
      <c r="L2" s="4"/>
      <c r="M2" s="4"/>
      <c r="N2" s="4"/>
    </row>
    <row r="3" customFormat="false" ht="15" hidden="false" customHeight="true" outlineLevel="0" collapsed="false">
      <c r="A3" s="45"/>
      <c r="B3" s="49"/>
      <c r="C3" s="49"/>
      <c r="D3" s="49"/>
      <c r="E3" s="49"/>
      <c r="F3" s="49"/>
      <c r="G3" s="49"/>
      <c r="H3" s="49"/>
      <c r="I3" s="49"/>
      <c r="J3" s="49"/>
      <c r="K3" s="4"/>
      <c r="L3" s="4"/>
      <c r="M3" s="4"/>
      <c r="N3" s="4"/>
    </row>
    <row r="4" customFormat="false" ht="23.25" hidden="false" customHeight="true" outlineLevel="0" collapsed="false">
      <c r="A4" s="8" t="s">
        <v>43</v>
      </c>
      <c r="B4" s="17" t="s">
        <v>353</v>
      </c>
      <c r="C4" s="17" t="s">
        <v>354</v>
      </c>
      <c r="D4" s="17" t="s">
        <v>44</v>
      </c>
      <c r="E4" s="17" t="s">
        <v>45</v>
      </c>
      <c r="F4" s="17" t="s">
        <v>46</v>
      </c>
      <c r="G4" s="17" t="s">
        <v>355</v>
      </c>
      <c r="H4" s="17" t="s">
        <v>48</v>
      </c>
      <c r="I4" s="17" t="s">
        <v>356</v>
      </c>
      <c r="J4" s="9" t="s">
        <v>50</v>
      </c>
      <c r="K4" s="4"/>
      <c r="L4" s="4"/>
      <c r="M4" s="4"/>
      <c r="N4" s="4"/>
    </row>
    <row r="5" customFormat="false" ht="30" hidden="false" customHeight="true" outlineLevel="0" collapsed="false">
      <c r="A5" s="18" t="s">
        <v>51</v>
      </c>
      <c r="B5" s="80" t="n">
        <f aca="false">Assumptions!$B$6</f>
        <v>0.01</v>
      </c>
      <c r="C5" s="80" t="n">
        <f aca="false">Assumptions!$B$7</f>
        <v>0.152</v>
      </c>
      <c r="D5" s="19" t="n">
        <f aca="false">B48</f>
        <v>3617.386811</v>
      </c>
      <c r="E5" s="19" t="n">
        <f aca="false">B57</f>
        <v>494.17732908984</v>
      </c>
      <c r="F5" s="60" t="n">
        <f aca="false">B63</f>
        <v>0.727782762204573</v>
      </c>
      <c r="G5" s="19" t="n">
        <f aca="false">B59</f>
        <v>303.0746216</v>
      </c>
      <c r="H5" s="21" t="str">
        <f aca="false">B60</f>
        <v>No</v>
      </c>
      <c r="I5" s="19" t="n">
        <f aca="false">'Debt &amp; Liquidity'!D19-'Debt &amp; Liquidity'!B36</f>
        <v>740</v>
      </c>
      <c r="J5" s="33" t="s">
        <v>357</v>
      </c>
      <c r="K5" s="4"/>
      <c r="L5" s="4"/>
      <c r="M5" s="4"/>
      <c r="N5" s="4"/>
    </row>
    <row r="6" customFormat="false" ht="30" hidden="false" customHeight="true" outlineLevel="0" collapsed="false">
      <c r="A6" s="18" t="s">
        <v>52</v>
      </c>
      <c r="B6" s="81" t="n">
        <v>-0.03</v>
      </c>
      <c r="C6" s="81" t="n">
        <v>0.132</v>
      </c>
      <c r="D6" s="19" t="n">
        <f aca="false">C48</f>
        <v>3204.394903</v>
      </c>
      <c r="E6" s="19" t="n">
        <f aca="false">C57</f>
        <v>639.50606178172</v>
      </c>
      <c r="F6" s="60" t="n">
        <f aca="false">C63</f>
        <v>1.26186772726233</v>
      </c>
      <c r="G6" s="19" t="n">
        <f aca="false">C59</f>
        <v>200.7058292</v>
      </c>
      <c r="H6" s="21" t="str">
        <f aca="false">C60</f>
        <v>Yes</v>
      </c>
      <c r="I6" s="19" t="n">
        <f aca="false">'Debt &amp; Liquidity'!D19-'Debt &amp; Liquidity'!B36</f>
        <v>740</v>
      </c>
      <c r="J6" s="33" t="s">
        <v>358</v>
      </c>
      <c r="K6" s="4"/>
      <c r="L6" s="4"/>
      <c r="M6" s="4"/>
      <c r="N6" s="4"/>
    </row>
    <row r="7" customFormat="false" ht="30" hidden="false" customHeight="true" outlineLevel="0" collapsed="false">
      <c r="A7" s="18" t="s">
        <v>53</v>
      </c>
      <c r="B7" s="81" t="n">
        <v>0.02</v>
      </c>
      <c r="C7" s="81" t="n">
        <v>0.162</v>
      </c>
      <c r="D7" s="19" t="n">
        <f aca="false">D48</f>
        <v>3725.901288</v>
      </c>
      <c r="E7" s="19" t="n">
        <f aca="false">D57</f>
        <v>315.00162395552</v>
      </c>
      <c r="F7" s="60" t="n">
        <f aca="false">D63</f>
        <v>0.378841329989753</v>
      </c>
      <c r="G7" s="19" t="n">
        <f aca="false">D59</f>
        <v>358.8914312</v>
      </c>
      <c r="H7" s="21" t="str">
        <f aca="false">D60</f>
        <v>No</v>
      </c>
      <c r="I7" s="19" t="n">
        <f aca="false">'Debt &amp; Liquidity'!D19-'Debt &amp; Liquidity'!B36</f>
        <v>740</v>
      </c>
      <c r="J7" s="33" t="s">
        <v>359</v>
      </c>
      <c r="K7" s="4"/>
      <c r="L7" s="4"/>
      <c r="M7" s="4"/>
      <c r="N7" s="4"/>
    </row>
    <row r="8" customFormat="false" ht="30" hidden="false" customHeight="true" outlineLevel="0" collapsed="false">
      <c r="A8" s="18" t="s">
        <v>54</v>
      </c>
      <c r="B8" s="81" t="n">
        <v>-0.05</v>
      </c>
      <c r="C8" s="81" t="n">
        <v>0.11</v>
      </c>
      <c r="D8" s="19" t="n">
        <f aca="false">E48</f>
        <v>3010.243625</v>
      </c>
      <c r="E8" s="19" t="n">
        <f aca="false">E57</f>
        <v>1059.4283281625</v>
      </c>
      <c r="F8" s="60" t="n">
        <f aca="false">E63</f>
        <v>2.77925190508499</v>
      </c>
      <c r="G8" s="19" t="n">
        <f aca="false">E59</f>
        <v>-143.4283281625</v>
      </c>
      <c r="H8" s="21" t="str">
        <f aca="false">E60</f>
        <v>Yes</v>
      </c>
      <c r="I8" s="19" t="n">
        <f aca="false">'Debt &amp; Liquidity'!D19-'Debt &amp; Liquidity'!B36</f>
        <v>740</v>
      </c>
      <c r="J8" s="33" t="s">
        <v>360</v>
      </c>
      <c r="K8" s="4"/>
      <c r="L8" s="4"/>
      <c r="M8" s="4"/>
      <c r="N8" s="4"/>
    </row>
    <row r="9" customFormat="false" ht="23.25" hidden="false" customHeight="true" outlineLevel="0" collapsed="false">
      <c r="A9" s="18" t="s">
        <v>361</v>
      </c>
      <c r="B9" s="51"/>
      <c r="C9" s="51"/>
      <c r="D9" s="51"/>
      <c r="E9" s="51"/>
      <c r="F9" s="49"/>
      <c r="G9" s="49"/>
      <c r="H9" s="49"/>
      <c r="I9" s="49"/>
      <c r="J9" s="33" t="s">
        <v>362</v>
      </c>
      <c r="K9" s="4"/>
      <c r="L9" s="4"/>
      <c r="M9" s="4"/>
      <c r="N9" s="4"/>
    </row>
    <row r="10" customFormat="false" ht="15" hidden="false" customHeight="true" outlineLevel="0" collapsed="false">
      <c r="A10" s="45"/>
      <c r="B10" s="82"/>
      <c r="C10" s="82"/>
      <c r="D10" s="82"/>
      <c r="E10" s="82"/>
      <c r="F10" s="49"/>
      <c r="G10" s="49"/>
      <c r="H10" s="49"/>
      <c r="I10" s="49"/>
      <c r="J10" s="49"/>
      <c r="K10" s="4"/>
      <c r="L10" s="4"/>
      <c r="M10" s="4"/>
      <c r="N10" s="4"/>
    </row>
    <row r="11" customFormat="false" ht="18.75" hidden="false" customHeight="true" outlineLevel="0" collapsed="false">
      <c r="A11" s="46" t="s">
        <v>363</v>
      </c>
      <c r="B11" s="46"/>
      <c r="C11" s="46"/>
      <c r="D11" s="46"/>
      <c r="E11" s="46"/>
      <c r="F11" s="46"/>
      <c r="G11" s="46"/>
      <c r="H11" s="46"/>
      <c r="I11" s="46"/>
      <c r="J11" s="46"/>
      <c r="K11" s="4"/>
      <c r="L11" s="4"/>
      <c r="M11" s="4"/>
      <c r="N11" s="4"/>
    </row>
    <row r="12" customFormat="false" ht="15" hidden="false" customHeight="true" outlineLevel="0" collapsed="false">
      <c r="A12" s="8" t="s">
        <v>364</v>
      </c>
      <c r="B12" s="17" t="s">
        <v>51</v>
      </c>
      <c r="C12" s="17" t="s">
        <v>52</v>
      </c>
      <c r="D12" s="17" t="s">
        <v>53</v>
      </c>
      <c r="E12" s="17" t="s">
        <v>54</v>
      </c>
      <c r="F12" s="17" t="s">
        <v>365</v>
      </c>
      <c r="G12" s="17" t="s">
        <v>29</v>
      </c>
      <c r="H12" s="55"/>
      <c r="I12" s="56"/>
      <c r="J12" s="49"/>
      <c r="K12" s="4"/>
      <c r="L12" s="4"/>
      <c r="M12" s="4"/>
      <c r="N12" s="4"/>
    </row>
    <row r="13" customFormat="false" ht="23.25" hidden="false" customHeight="true" outlineLevel="0" collapsed="false">
      <c r="A13" s="18" t="s">
        <v>366</v>
      </c>
      <c r="B13" s="19" t="n">
        <f aca="false">Assumptions!$B$11</f>
        <v>40</v>
      </c>
      <c r="C13" s="32" t="s">
        <v>367</v>
      </c>
      <c r="D13" s="32" t="s">
        <v>368</v>
      </c>
      <c r="E13" s="32" t="s">
        <v>369</v>
      </c>
      <c r="F13" s="33" t="s">
        <v>82</v>
      </c>
      <c r="G13" s="33" t="s">
        <v>370</v>
      </c>
      <c r="H13" s="49"/>
      <c r="I13" s="49"/>
      <c r="J13" s="49"/>
      <c r="K13" s="4"/>
      <c r="L13" s="4"/>
      <c r="M13" s="4"/>
      <c r="N13" s="4"/>
    </row>
    <row r="14" customFormat="false" ht="23.25" hidden="false" customHeight="true" outlineLevel="0" collapsed="false">
      <c r="A14" s="18" t="s">
        <v>72</v>
      </c>
      <c r="B14" s="83" t="n">
        <f aca="false">Assumptions!$B$13</f>
        <v>0.8</v>
      </c>
      <c r="C14" s="84" t="s">
        <v>371</v>
      </c>
      <c r="D14" s="84" t="s">
        <v>372</v>
      </c>
      <c r="E14" s="84" t="s">
        <v>373</v>
      </c>
      <c r="F14" s="33" t="s">
        <v>374</v>
      </c>
      <c r="G14" s="33" t="s">
        <v>370</v>
      </c>
      <c r="H14" s="49"/>
      <c r="I14" s="49"/>
      <c r="J14" s="49"/>
      <c r="K14" s="4"/>
      <c r="L14" s="4"/>
      <c r="M14" s="4"/>
      <c r="N14" s="4"/>
    </row>
    <row r="15" customFormat="false" ht="23.25" hidden="false" customHeight="true" outlineLevel="0" collapsed="false">
      <c r="A15" s="18" t="s">
        <v>375</v>
      </c>
      <c r="B15" s="85" t="n">
        <f aca="false">Assumptions!$B$15</f>
        <v>0.05</v>
      </c>
      <c r="C15" s="73" t="s">
        <v>376</v>
      </c>
      <c r="D15" s="73" t="s">
        <v>377</v>
      </c>
      <c r="E15" s="73" t="s">
        <v>377</v>
      </c>
      <c r="F15" s="33" t="s">
        <v>378</v>
      </c>
      <c r="G15" s="33" t="s">
        <v>379</v>
      </c>
      <c r="H15" s="49"/>
      <c r="I15" s="49"/>
      <c r="J15" s="49"/>
      <c r="K15" s="4"/>
      <c r="L15" s="4"/>
      <c r="M15" s="4"/>
      <c r="N15" s="4"/>
    </row>
    <row r="16" customFormat="false" ht="23.25" hidden="false" customHeight="true" outlineLevel="0" collapsed="false">
      <c r="A16" s="18" t="s">
        <v>101</v>
      </c>
      <c r="B16" s="19" t="n">
        <f aca="false">Assumptions!$B$37</f>
        <v>100</v>
      </c>
      <c r="C16" s="32" t="s">
        <v>380</v>
      </c>
      <c r="D16" s="32" t="s">
        <v>380</v>
      </c>
      <c r="E16" s="32" t="s">
        <v>380</v>
      </c>
      <c r="F16" s="33" t="s">
        <v>82</v>
      </c>
      <c r="G16" s="33" t="s">
        <v>370</v>
      </c>
      <c r="H16" s="49"/>
      <c r="I16" s="49"/>
      <c r="J16" s="49"/>
      <c r="K16" s="4"/>
      <c r="L16" s="4"/>
      <c r="M16" s="4"/>
      <c r="N16" s="4"/>
    </row>
    <row r="17" customFormat="false" ht="15" hidden="false" customHeight="true" outlineLevel="0" collapsed="false">
      <c r="A17" s="45"/>
      <c r="B17" s="49"/>
      <c r="C17" s="49"/>
      <c r="D17" s="49"/>
      <c r="E17" s="49"/>
      <c r="F17" s="49"/>
      <c r="G17" s="49"/>
      <c r="H17" s="49"/>
      <c r="I17" s="49"/>
      <c r="J17" s="49"/>
      <c r="K17" s="4"/>
      <c r="L17" s="4"/>
      <c r="M17" s="4"/>
      <c r="N17" s="4"/>
    </row>
    <row r="18" customFormat="false" ht="15" hidden="false" customHeight="true" outlineLevel="0" collapsed="false">
      <c r="A18" s="45"/>
      <c r="B18" s="49"/>
      <c r="C18" s="49"/>
      <c r="D18" s="49"/>
      <c r="E18" s="49"/>
      <c r="F18" s="49"/>
      <c r="G18" s="49"/>
      <c r="H18" s="49"/>
      <c r="I18" s="49"/>
      <c r="J18" s="49"/>
      <c r="K18" s="4"/>
      <c r="L18" s="4"/>
      <c r="M18" s="4"/>
      <c r="N18" s="4"/>
    </row>
    <row r="19" customFormat="false" ht="15" hidden="false" customHeight="true" outlineLevel="0" collapsed="false">
      <c r="A19" s="45"/>
      <c r="B19" s="49"/>
      <c r="C19" s="49"/>
      <c r="D19" s="49"/>
      <c r="E19" s="49"/>
      <c r="F19" s="49"/>
      <c r="G19" s="49"/>
      <c r="H19" s="49"/>
      <c r="I19" s="49"/>
      <c r="J19" s="49"/>
      <c r="K19" s="4"/>
      <c r="L19" s="4"/>
      <c r="M19" s="4"/>
      <c r="N19" s="4"/>
    </row>
    <row r="20" customFormat="false" ht="23.25" hidden="false" customHeight="true" outlineLevel="0" collapsed="false">
      <c r="A20" s="46" t="s">
        <v>381</v>
      </c>
      <c r="B20" s="65"/>
      <c r="C20" s="65"/>
      <c r="D20" s="65"/>
      <c r="E20" s="65"/>
      <c r="F20" s="65"/>
      <c r="G20" s="49"/>
      <c r="H20" s="49"/>
      <c r="I20" s="49"/>
      <c r="J20" s="49"/>
      <c r="K20" s="4"/>
      <c r="L20" s="4"/>
      <c r="M20" s="4"/>
      <c r="N20" s="4"/>
    </row>
    <row r="21" customFormat="false" ht="15" hidden="false" customHeight="true" outlineLevel="0" collapsed="false">
      <c r="A21" s="58" t="s">
        <v>382</v>
      </c>
      <c r="B21" s="67" t="s">
        <v>51</v>
      </c>
      <c r="C21" s="67" t="s">
        <v>52</v>
      </c>
      <c r="D21" s="67" t="s">
        <v>53</v>
      </c>
      <c r="E21" s="67" t="s">
        <v>54</v>
      </c>
      <c r="F21" s="67" t="s">
        <v>365</v>
      </c>
      <c r="G21" s="49"/>
      <c r="H21" s="49"/>
      <c r="I21" s="49"/>
      <c r="J21" s="49"/>
      <c r="K21" s="4"/>
      <c r="L21" s="4"/>
      <c r="M21" s="4"/>
      <c r="N21" s="4"/>
    </row>
    <row r="22" customFormat="false" ht="15" hidden="false" customHeight="true" outlineLevel="0" collapsed="false">
      <c r="A22" s="18" t="s">
        <v>383</v>
      </c>
      <c r="B22" s="19" t="n">
        <f aca="false">Forecast!F7</f>
        <v>3546.11</v>
      </c>
      <c r="C22" s="39" t="n">
        <f aca="false">Historicals!$C$5*(1+$B$6)</f>
        <v>3405.67</v>
      </c>
      <c r="D22" s="39" t="n">
        <f aca="false">Historicals!$C$5*(1+$B$7)</f>
        <v>3581.22</v>
      </c>
      <c r="E22" s="39" t="n">
        <f aca="false">Historicals!$C$5*(1+$B$8)</f>
        <v>3335.45</v>
      </c>
      <c r="F22" s="33" t="s">
        <v>82</v>
      </c>
      <c r="G22" s="49"/>
      <c r="H22" s="49"/>
      <c r="I22" s="49"/>
      <c r="J22" s="49"/>
      <c r="K22" s="4"/>
      <c r="L22" s="4"/>
      <c r="M22" s="4"/>
      <c r="N22" s="4"/>
    </row>
    <row r="23" customFormat="false" ht="15" hidden="false" customHeight="true" outlineLevel="0" collapsed="false">
      <c r="A23" s="18" t="s">
        <v>384</v>
      </c>
      <c r="B23" s="19" t="n">
        <f aca="false">Forecast!F9</f>
        <v>539.00872</v>
      </c>
      <c r="C23" s="39" t="n">
        <f aca="false">C22*$C$6</f>
        <v>449.54844</v>
      </c>
      <c r="D23" s="39" t="n">
        <f aca="false">D22*$C$7</f>
        <v>580.15764</v>
      </c>
      <c r="E23" s="39" t="n">
        <f aca="false">E22*$C$8</f>
        <v>366.8995</v>
      </c>
      <c r="F23" s="33" t="s">
        <v>82</v>
      </c>
      <c r="G23" s="49"/>
      <c r="H23" s="49"/>
      <c r="I23" s="49"/>
      <c r="J23" s="49"/>
      <c r="K23" s="4"/>
      <c r="L23" s="4"/>
      <c r="M23" s="4"/>
      <c r="N23" s="4"/>
    </row>
    <row r="24" customFormat="false" ht="15" hidden="false" customHeight="true" outlineLevel="0" collapsed="false">
      <c r="A24" s="18" t="s">
        <v>385</v>
      </c>
      <c r="B24" s="19" t="n">
        <f aca="false">Forecast!F12</f>
        <v>587.00872</v>
      </c>
      <c r="C24" s="39" t="n">
        <f aca="false">C23+Assumptions!$B$8</f>
        <v>497.54844</v>
      </c>
      <c r="D24" s="39" t="n">
        <f aca="false">D23+Assumptions!$B$8</f>
        <v>628.15764</v>
      </c>
      <c r="E24" s="39" t="n">
        <f aca="false">E23+Assumptions!$B$8</f>
        <v>414.8995</v>
      </c>
      <c r="F24" s="33" t="s">
        <v>82</v>
      </c>
      <c r="G24" s="49"/>
      <c r="H24" s="49"/>
      <c r="I24" s="49"/>
      <c r="J24" s="49"/>
      <c r="K24" s="4"/>
      <c r="L24" s="4"/>
      <c r="M24" s="4"/>
      <c r="N24" s="4"/>
    </row>
    <row r="25" customFormat="false" ht="15" hidden="false" customHeight="true" outlineLevel="0" collapsed="false">
      <c r="A25" s="18" t="s">
        <v>386</v>
      </c>
      <c r="B25" s="19" t="n">
        <f aca="false">Forecast!F20</f>
        <v>431.206976</v>
      </c>
      <c r="C25" s="39" t="n">
        <f aca="false">C23*$C$14</f>
        <v>314.683908</v>
      </c>
      <c r="D25" s="39" t="n">
        <f aca="false">D23*$D$14</f>
        <v>493.133994</v>
      </c>
      <c r="E25" s="39" t="n">
        <f aca="false">E23*$E$14</f>
        <v>220.1397</v>
      </c>
      <c r="F25" s="33" t="s">
        <v>82</v>
      </c>
      <c r="G25" s="49"/>
      <c r="H25" s="49"/>
      <c r="I25" s="49"/>
      <c r="J25" s="49"/>
      <c r="K25" s="4"/>
      <c r="L25" s="4"/>
      <c r="M25" s="4"/>
      <c r="N25" s="4"/>
    </row>
    <row r="26" customFormat="false" ht="23.25" hidden="false" customHeight="true" outlineLevel="0" collapsed="false">
      <c r="A26" s="18" t="s">
        <v>387</v>
      </c>
      <c r="B26" s="19" t="n">
        <f aca="false">Forecast!F21</f>
        <v>-40</v>
      </c>
      <c r="C26" s="39" t="n">
        <f aca="false">-$C$13</f>
        <v>-50</v>
      </c>
      <c r="D26" s="39" t="n">
        <f aca="false">-$D$13</f>
        <v>-35</v>
      </c>
      <c r="E26" s="39" t="n">
        <f aca="false">-$E$13</f>
        <v>-55</v>
      </c>
      <c r="F26" s="33" t="s">
        <v>82</v>
      </c>
      <c r="G26" s="49"/>
      <c r="H26" s="49"/>
      <c r="I26" s="49"/>
      <c r="J26" s="49"/>
      <c r="K26" s="4"/>
      <c r="L26" s="4"/>
      <c r="M26" s="4"/>
      <c r="N26" s="4"/>
    </row>
    <row r="27" customFormat="false" ht="15" hidden="false" customHeight="true" outlineLevel="0" collapsed="false">
      <c r="A27" s="18" t="s">
        <v>388</v>
      </c>
      <c r="B27" s="19" t="n">
        <f aca="false">Forecast!F22</f>
        <v>-145.5323544</v>
      </c>
      <c r="C27" s="39" t="n">
        <f aca="false">-C23*Assumptions!$B$12</f>
        <v>-121.3780788</v>
      </c>
      <c r="D27" s="39" t="n">
        <f aca="false">-D23*Assumptions!$B$12</f>
        <v>-156.6425628</v>
      </c>
      <c r="E27" s="39" t="n">
        <f aca="false">-E23*Assumptions!$B$12</f>
        <v>-99.062865</v>
      </c>
      <c r="F27" s="33" t="s">
        <v>82</v>
      </c>
      <c r="G27" s="49"/>
      <c r="H27" s="49"/>
      <c r="I27" s="49"/>
      <c r="J27" s="49"/>
      <c r="K27" s="4"/>
      <c r="L27" s="4"/>
      <c r="M27" s="4"/>
      <c r="N27" s="4"/>
    </row>
    <row r="28" customFormat="false" ht="15" hidden="false" customHeight="true" outlineLevel="0" collapsed="false">
      <c r="A28" s="18" t="s">
        <v>389</v>
      </c>
      <c r="B28" s="19" t="n">
        <f aca="false">Forecast!F23</f>
        <v>-3</v>
      </c>
      <c r="C28" s="39" t="n">
        <f aca="false">-Assumptions!$B$14</f>
        <v>-3</v>
      </c>
      <c r="D28" s="39" t="n">
        <f aca="false">-Assumptions!$B$14</f>
        <v>-3</v>
      </c>
      <c r="E28" s="39" t="n">
        <f aca="false">-Assumptions!$B$14</f>
        <v>-3</v>
      </c>
      <c r="F28" s="33" t="s">
        <v>82</v>
      </c>
      <c r="G28" s="49"/>
      <c r="H28" s="49"/>
      <c r="I28" s="49"/>
      <c r="J28" s="49"/>
      <c r="K28" s="4"/>
      <c r="L28" s="4"/>
      <c r="M28" s="4"/>
      <c r="N28" s="4"/>
    </row>
    <row r="29" customFormat="false" ht="15" hidden="false" customHeight="true" outlineLevel="0" collapsed="false">
      <c r="A29" s="18" t="s">
        <v>390</v>
      </c>
      <c r="B29" s="19" t="n">
        <f aca="false">Forecast!F24</f>
        <v>242.6746216</v>
      </c>
      <c r="C29" s="39" t="n">
        <f aca="false">SUM(C25:C28)</f>
        <v>140.3058292</v>
      </c>
      <c r="D29" s="39" t="n">
        <f aca="false">SUM(D25:D28)</f>
        <v>298.4914312</v>
      </c>
      <c r="E29" s="39" t="n">
        <f aca="false">SUM(E25:E28)</f>
        <v>63.076835</v>
      </c>
      <c r="F29" s="33" t="s">
        <v>82</v>
      </c>
      <c r="G29" s="49"/>
      <c r="H29" s="49"/>
      <c r="I29" s="49"/>
      <c r="J29" s="49"/>
      <c r="K29" s="4"/>
      <c r="L29" s="4"/>
      <c r="M29" s="4"/>
      <c r="N29" s="4"/>
    </row>
    <row r="30" customFormat="false" ht="15" hidden="false" customHeight="true" outlineLevel="0" collapsed="false">
      <c r="A30" s="18" t="s">
        <v>391</v>
      </c>
      <c r="B30" s="19" t="n">
        <f aca="false">Historicals!D18</f>
        <v>40</v>
      </c>
      <c r="C30" s="39" t="n">
        <f aca="false">Historicals!$D$18</f>
        <v>40</v>
      </c>
      <c r="D30" s="39" t="n">
        <f aca="false">Historicals!$D$18</f>
        <v>40</v>
      </c>
      <c r="E30" s="39" t="n">
        <f aca="false">Historicals!$D$18</f>
        <v>40</v>
      </c>
      <c r="F30" s="33" t="s">
        <v>82</v>
      </c>
      <c r="G30" s="49"/>
      <c r="H30" s="49"/>
      <c r="I30" s="49"/>
      <c r="J30" s="49"/>
      <c r="K30" s="4"/>
      <c r="L30" s="4"/>
      <c r="M30" s="4"/>
      <c r="N30" s="4"/>
    </row>
    <row r="31" customFormat="false" ht="15" hidden="false" customHeight="true" outlineLevel="0" collapsed="false">
      <c r="A31" s="18" t="s">
        <v>392</v>
      </c>
      <c r="B31" s="19" t="n">
        <f aca="false">Forecast!E24</f>
        <v>202.6746216</v>
      </c>
      <c r="C31" s="39" t="n">
        <f aca="false">C29-C30</f>
        <v>100.3058292</v>
      </c>
      <c r="D31" s="39" t="n">
        <f aca="false">D29-D30</f>
        <v>258.4914312</v>
      </c>
      <c r="E31" s="39" t="n">
        <f aca="false">E29-E30</f>
        <v>23.076835</v>
      </c>
      <c r="F31" s="33" t="s">
        <v>82</v>
      </c>
      <c r="G31" s="49"/>
      <c r="H31" s="49"/>
      <c r="I31" s="49"/>
      <c r="J31" s="49"/>
      <c r="K31" s="4"/>
      <c r="L31" s="4"/>
      <c r="M31" s="4"/>
      <c r="N31" s="4"/>
    </row>
    <row r="32" customFormat="false" ht="23.25" hidden="false" customHeight="true" outlineLevel="0" collapsed="false">
      <c r="A32" s="18" t="s">
        <v>393</v>
      </c>
      <c r="B32" s="19" t="n">
        <f aca="false">Forecast!F30</f>
        <v>-287.6</v>
      </c>
      <c r="C32" s="39" t="n">
        <f aca="false">-(Assumptions!$B$15*Assumptions!$B$16)-$C$16</f>
        <v>-287.6</v>
      </c>
      <c r="D32" s="39" t="n">
        <f aca="false">-(Assumptions!$B$15*Assumptions!$B$16)-$D$16</f>
        <v>-287.6</v>
      </c>
      <c r="E32" s="39" t="n">
        <f aca="false">-(Assumptions!$B$15*Assumptions!$B$16)-$E$16</f>
        <v>-287.6</v>
      </c>
      <c r="F32" s="33" t="s">
        <v>82</v>
      </c>
      <c r="G32" s="49"/>
      <c r="H32" s="49"/>
      <c r="I32" s="49"/>
      <c r="J32" s="49"/>
      <c r="K32" s="4"/>
      <c r="L32" s="4"/>
      <c r="M32" s="4"/>
      <c r="N32" s="4"/>
    </row>
    <row r="33" customFormat="false" ht="15" hidden="false" customHeight="true" outlineLevel="0" collapsed="false">
      <c r="A33" s="18" t="s">
        <v>394</v>
      </c>
      <c r="B33" s="19" t="n">
        <f aca="false">Forecast!D30</f>
        <v>-124</v>
      </c>
      <c r="C33" s="39" t="n">
        <f aca="false">Forecast!$D$30</f>
        <v>-124</v>
      </c>
      <c r="D33" s="39" t="n">
        <f aca="false">Forecast!$D$30</f>
        <v>-124</v>
      </c>
      <c r="E33" s="39" t="n">
        <f aca="false">Forecast!$D$30</f>
        <v>-124</v>
      </c>
      <c r="F33" s="33" t="s">
        <v>82</v>
      </c>
      <c r="G33" s="49"/>
      <c r="H33" s="49"/>
      <c r="I33" s="49"/>
      <c r="J33" s="49"/>
      <c r="K33" s="4"/>
      <c r="L33" s="4"/>
      <c r="M33" s="4"/>
      <c r="N33" s="4"/>
    </row>
    <row r="34" customFormat="false" ht="15" hidden="false" customHeight="true" outlineLevel="0" collapsed="false">
      <c r="A34" s="18" t="s">
        <v>395</v>
      </c>
      <c r="B34" s="19" t="n">
        <f aca="false">B32-B33</f>
        <v>-163.6</v>
      </c>
      <c r="C34" s="39" t="n">
        <f aca="false">C32-C33</f>
        <v>-163.6</v>
      </c>
      <c r="D34" s="39" t="n">
        <f aca="false">D32-D33</f>
        <v>-163.6</v>
      </c>
      <c r="E34" s="39" t="n">
        <f aca="false">E32-E33</f>
        <v>-163.6</v>
      </c>
      <c r="F34" s="33" t="s">
        <v>82</v>
      </c>
      <c r="G34" s="49"/>
      <c r="H34" s="49"/>
      <c r="I34" s="49"/>
      <c r="J34" s="49"/>
      <c r="K34" s="4"/>
      <c r="L34" s="4"/>
      <c r="M34" s="4"/>
      <c r="N34" s="4"/>
    </row>
    <row r="35" customFormat="false" ht="23.25" hidden="false" customHeight="true" outlineLevel="0" collapsed="false">
      <c r="A35" s="18" t="s">
        <v>396</v>
      </c>
      <c r="B35" s="19" t="n">
        <f aca="false">Assumptions!$B$22-(B31+B34)</f>
        <v>612.9253784</v>
      </c>
      <c r="C35" s="39" t="n">
        <f aca="false">Assumptions!$B$22-(C31+C34)</f>
        <v>715.2941708</v>
      </c>
      <c r="D35" s="39" t="n">
        <f aca="false">Assumptions!$B$22-(D31+D34)</f>
        <v>557.1085688</v>
      </c>
      <c r="E35" s="39" t="n">
        <f aca="false">Assumptions!$B$22-(E31+E34)</f>
        <v>792.523165</v>
      </c>
      <c r="F35" s="33" t="s">
        <v>82</v>
      </c>
      <c r="G35" s="49"/>
      <c r="H35" s="49"/>
      <c r="I35" s="49"/>
      <c r="J35" s="49"/>
      <c r="K35" s="4"/>
      <c r="L35" s="4"/>
      <c r="M35" s="4"/>
      <c r="N35" s="4"/>
    </row>
    <row r="36" customFormat="false" ht="15" hidden="false" customHeight="true" outlineLevel="0" collapsed="false">
      <c r="A36" s="18" t="s">
        <v>397</v>
      </c>
      <c r="B36" s="19" t="n">
        <f aca="false">Assumptions!$B$18+B31+B34</f>
        <v>303.0746216</v>
      </c>
      <c r="C36" s="39" t="n">
        <f aca="false">Assumptions!$B$18+C31+C34</f>
        <v>200.7058292</v>
      </c>
      <c r="D36" s="39" t="n">
        <f aca="false">Assumptions!$B$18+D31+D34</f>
        <v>358.8914312</v>
      </c>
      <c r="E36" s="39" t="n">
        <f aca="false">Assumptions!$B$18+E31+E34</f>
        <v>123.476835</v>
      </c>
      <c r="F36" s="33" t="s">
        <v>82</v>
      </c>
      <c r="G36" s="49"/>
      <c r="H36" s="49"/>
      <c r="I36" s="49"/>
      <c r="J36" s="49"/>
      <c r="K36" s="4"/>
      <c r="L36" s="4"/>
      <c r="M36" s="4"/>
      <c r="N36" s="4"/>
    </row>
    <row r="37" customFormat="false" ht="15" hidden="false" customHeight="true" outlineLevel="0" collapsed="false">
      <c r="A37" s="18" t="s">
        <v>398</v>
      </c>
      <c r="B37" s="19" t="n">
        <f aca="false">Forecast!G7</f>
        <v>3581.5711</v>
      </c>
      <c r="C37" s="39" t="n">
        <f aca="false">C22*(1+$B$6)</f>
        <v>3303.4999</v>
      </c>
      <c r="D37" s="39" t="n">
        <f aca="false">D22*(1+$B$7)</f>
        <v>3652.8444</v>
      </c>
      <c r="E37" s="39" t="n">
        <f aca="false">E22*(1+$B$8)</f>
        <v>3168.6775</v>
      </c>
      <c r="F37" s="33" t="s">
        <v>82</v>
      </c>
      <c r="G37" s="49"/>
      <c r="H37" s="49"/>
      <c r="I37" s="49"/>
      <c r="J37" s="49"/>
      <c r="K37" s="4"/>
      <c r="L37" s="4"/>
      <c r="M37" s="4"/>
      <c r="N37" s="4"/>
    </row>
    <row r="38" customFormat="false" ht="15" hidden="false" customHeight="true" outlineLevel="0" collapsed="false">
      <c r="A38" s="18" t="s">
        <v>399</v>
      </c>
      <c r="B38" s="19" t="n">
        <f aca="false">Forecast!G9</f>
        <v>544.3988072</v>
      </c>
      <c r="C38" s="39" t="n">
        <f aca="false">C37*$C$6</f>
        <v>436.0619868</v>
      </c>
      <c r="D38" s="39" t="n">
        <f aca="false">D37*$C$7</f>
        <v>591.7607928</v>
      </c>
      <c r="E38" s="39" t="n">
        <f aca="false">E37*$C$8</f>
        <v>348.554525</v>
      </c>
      <c r="F38" s="33" t="s">
        <v>82</v>
      </c>
      <c r="G38" s="49"/>
      <c r="H38" s="49"/>
      <c r="I38" s="49"/>
      <c r="J38" s="49"/>
      <c r="K38" s="4"/>
      <c r="L38" s="4"/>
      <c r="M38" s="4"/>
      <c r="N38" s="4"/>
    </row>
    <row r="39" customFormat="false" ht="15" hidden="false" customHeight="true" outlineLevel="0" collapsed="false">
      <c r="A39" s="18" t="s">
        <v>400</v>
      </c>
      <c r="B39" s="19" t="n">
        <f aca="false">Forecast!G12</f>
        <v>592.3988072</v>
      </c>
      <c r="C39" s="39" t="n">
        <f aca="false">C38+Assumptions!$B$8</f>
        <v>484.0619868</v>
      </c>
      <c r="D39" s="39" t="n">
        <f aca="false">D38+Assumptions!$B$8</f>
        <v>639.7607928</v>
      </c>
      <c r="E39" s="39" t="n">
        <f aca="false">E38+Assumptions!$B$8</f>
        <v>396.554525</v>
      </c>
      <c r="F39" s="33" t="s">
        <v>82</v>
      </c>
      <c r="G39" s="49"/>
      <c r="H39" s="49"/>
      <c r="I39" s="49"/>
      <c r="J39" s="49"/>
      <c r="K39" s="4"/>
      <c r="L39" s="4"/>
      <c r="M39" s="4"/>
      <c r="N39" s="4"/>
    </row>
    <row r="40" customFormat="false" ht="15" hidden="false" customHeight="true" outlineLevel="0" collapsed="false">
      <c r="A40" s="18" t="s">
        <v>401</v>
      </c>
      <c r="B40" s="19" t="n">
        <f aca="false">Forecast!G20</f>
        <v>435.51904576</v>
      </c>
      <c r="C40" s="39" t="n">
        <f aca="false">C38*$C$14</f>
        <v>305.24339076</v>
      </c>
      <c r="D40" s="39" t="n">
        <f aca="false">D38*$D$14</f>
        <v>502.99667388</v>
      </c>
      <c r="E40" s="39" t="n">
        <f aca="false">E38*$E$14</f>
        <v>209.132715</v>
      </c>
      <c r="F40" s="33" t="s">
        <v>82</v>
      </c>
      <c r="G40" s="49"/>
      <c r="H40" s="49"/>
      <c r="I40" s="49"/>
      <c r="J40" s="49"/>
      <c r="K40" s="4"/>
      <c r="L40" s="4"/>
      <c r="M40" s="4"/>
      <c r="N40" s="4"/>
    </row>
    <row r="41" customFormat="false" ht="23.25" hidden="false" customHeight="true" outlineLevel="0" collapsed="false">
      <c r="A41" s="18" t="s">
        <v>402</v>
      </c>
      <c r="B41" s="19" t="n">
        <f aca="false">Forecast!G21</f>
        <v>-40</v>
      </c>
      <c r="C41" s="39" t="n">
        <f aca="false">-$C$13</f>
        <v>-50</v>
      </c>
      <c r="D41" s="39" t="n">
        <f aca="false">-$D$13</f>
        <v>-35</v>
      </c>
      <c r="E41" s="39" t="n">
        <f aca="false">-$E$13</f>
        <v>-55</v>
      </c>
      <c r="F41" s="33" t="s">
        <v>82</v>
      </c>
      <c r="G41" s="49"/>
      <c r="H41" s="49"/>
      <c r="I41" s="49"/>
      <c r="J41" s="49"/>
      <c r="K41" s="4"/>
      <c r="L41" s="4"/>
      <c r="M41" s="4"/>
      <c r="N41" s="4"/>
    </row>
    <row r="42" customFormat="false" ht="15" hidden="false" customHeight="true" outlineLevel="0" collapsed="false">
      <c r="A42" s="18" t="s">
        <v>403</v>
      </c>
      <c r="B42" s="19" t="n">
        <f aca="false">Forecast!G22</f>
        <v>-146.987677944</v>
      </c>
      <c r="C42" s="39" t="n">
        <f aca="false">-C38*Assumptions!$B$12</f>
        <v>-117.736736436</v>
      </c>
      <c r="D42" s="39" t="n">
        <f aca="false">-D38*Assumptions!$B$12</f>
        <v>-159.775414056</v>
      </c>
      <c r="E42" s="39" t="n">
        <f aca="false">-E38*Assumptions!$B$12</f>
        <v>-94.10972175</v>
      </c>
      <c r="F42" s="33" t="s">
        <v>82</v>
      </c>
      <c r="G42" s="49"/>
      <c r="H42" s="49"/>
      <c r="I42" s="49"/>
      <c r="J42" s="49"/>
      <c r="K42" s="4"/>
      <c r="L42" s="4"/>
      <c r="M42" s="4"/>
      <c r="N42" s="4"/>
    </row>
    <row r="43" customFormat="false" ht="15" hidden="false" customHeight="true" outlineLevel="0" collapsed="false">
      <c r="A43" s="18" t="s">
        <v>404</v>
      </c>
      <c r="B43" s="19" t="n">
        <f aca="false">Forecast!G23</f>
        <v>-3</v>
      </c>
      <c r="C43" s="39" t="n">
        <f aca="false">-Assumptions!$B$14</f>
        <v>-3</v>
      </c>
      <c r="D43" s="39" t="n">
        <f aca="false">-Assumptions!$B$14</f>
        <v>-3</v>
      </c>
      <c r="E43" s="39" t="n">
        <f aca="false">-Assumptions!$B$14</f>
        <v>-3</v>
      </c>
      <c r="F43" s="33" t="s">
        <v>82</v>
      </c>
      <c r="G43" s="49"/>
      <c r="H43" s="49"/>
      <c r="I43" s="49"/>
      <c r="J43" s="49"/>
      <c r="K43" s="4"/>
      <c r="L43" s="4"/>
      <c r="M43" s="4"/>
      <c r="N43" s="4"/>
    </row>
    <row r="44" customFormat="false" ht="15" hidden="false" customHeight="true" outlineLevel="0" collapsed="false">
      <c r="A44" s="18" t="s">
        <v>405</v>
      </c>
      <c r="B44" s="19" t="n">
        <f aca="false">Forecast!G24</f>
        <v>245.531367816</v>
      </c>
      <c r="C44" s="39" t="n">
        <f aca="false">SUM(C40:C43)</f>
        <v>134.506654324</v>
      </c>
      <c r="D44" s="39" t="n">
        <f aca="false">SUM(D40:D43)</f>
        <v>305.221259824</v>
      </c>
      <c r="E44" s="39" t="n">
        <f aca="false">SUM(E40:E43)</f>
        <v>57.02299325</v>
      </c>
      <c r="F44" s="33" t="s">
        <v>82</v>
      </c>
      <c r="G44" s="49"/>
      <c r="H44" s="49"/>
      <c r="I44" s="49"/>
      <c r="J44" s="49"/>
      <c r="K44" s="4"/>
      <c r="L44" s="4"/>
      <c r="M44" s="4"/>
      <c r="N44" s="4"/>
    </row>
    <row r="45" customFormat="false" ht="15" hidden="false" customHeight="true" outlineLevel="0" collapsed="false">
      <c r="A45" s="18" t="s">
        <v>406</v>
      </c>
      <c r="B45" s="19" t="n">
        <f aca="false">Forecast!G30</f>
        <v>-187.6</v>
      </c>
      <c r="C45" s="39" t="n">
        <f aca="false">-($C$15*Assumptions!$B$16)</f>
        <v>-93.8</v>
      </c>
      <c r="D45" s="39" t="n">
        <f aca="false">-($D$15*Assumptions!$B$16)</f>
        <v>-187.6</v>
      </c>
      <c r="E45" s="39" t="n">
        <f aca="false">-($E$15*Assumptions!$B$16)</f>
        <v>-187.6</v>
      </c>
      <c r="F45" s="33" t="s">
        <v>82</v>
      </c>
      <c r="G45" s="49"/>
      <c r="H45" s="49"/>
      <c r="I45" s="49"/>
      <c r="J45" s="49"/>
      <c r="K45" s="4"/>
      <c r="L45" s="4"/>
      <c r="M45" s="4"/>
      <c r="N45" s="4"/>
    </row>
    <row r="46" customFormat="false" ht="23.25" hidden="false" customHeight="true" outlineLevel="0" collapsed="false">
      <c r="A46" s="18" t="s">
        <v>407</v>
      </c>
      <c r="B46" s="19" t="n">
        <f aca="false">B35-(B44+B45)</f>
        <v>554.994010584</v>
      </c>
      <c r="C46" s="39" t="n">
        <f aca="false">C35-(C44+C45)</f>
        <v>674.587516476</v>
      </c>
      <c r="D46" s="39" t="n">
        <f aca="false">D35-(D44+D45)</f>
        <v>439.487308976</v>
      </c>
      <c r="E46" s="39" t="n">
        <f aca="false">E35-(E44+E45)</f>
        <v>923.10017175</v>
      </c>
      <c r="F46" s="33" t="s">
        <v>82</v>
      </c>
      <c r="G46" s="49"/>
      <c r="H46" s="49"/>
      <c r="I46" s="49"/>
      <c r="J46" s="49"/>
      <c r="K46" s="4"/>
      <c r="L46" s="4"/>
      <c r="M46" s="4"/>
      <c r="N46" s="4"/>
    </row>
    <row r="47" customFormat="false" ht="15" hidden="false" customHeight="true" outlineLevel="0" collapsed="false">
      <c r="A47" s="18" t="s">
        <v>408</v>
      </c>
      <c r="B47" s="19" t="n">
        <f aca="false">B36+B44+B45</f>
        <v>361.005989416</v>
      </c>
      <c r="C47" s="39" t="n">
        <f aca="false">C36+C44+C45</f>
        <v>241.412483524</v>
      </c>
      <c r="D47" s="39" t="n">
        <f aca="false">D36+D44+D45</f>
        <v>476.512691024</v>
      </c>
      <c r="E47" s="39" t="n">
        <f aca="false">E36+E44+E45</f>
        <v>-7.10017175000013</v>
      </c>
      <c r="F47" s="33" t="s">
        <v>82</v>
      </c>
      <c r="G47" s="49"/>
      <c r="H47" s="49"/>
      <c r="I47" s="49"/>
      <c r="J47" s="49"/>
      <c r="K47" s="4"/>
      <c r="L47" s="4"/>
      <c r="M47" s="4"/>
      <c r="N47" s="4"/>
    </row>
    <row r="48" customFormat="false" ht="15" hidden="false" customHeight="true" outlineLevel="0" collapsed="false">
      <c r="A48" s="18" t="s">
        <v>409</v>
      </c>
      <c r="B48" s="19" t="n">
        <f aca="false">Forecast!H7</f>
        <v>3617.386811</v>
      </c>
      <c r="C48" s="39" t="n">
        <f aca="false">C37*(1+$B$6)</f>
        <v>3204.394903</v>
      </c>
      <c r="D48" s="39" t="n">
        <f aca="false">D37*(1+$B$7)</f>
        <v>3725.901288</v>
      </c>
      <c r="E48" s="39" t="n">
        <f aca="false">E37*(1+$B$8)</f>
        <v>3010.243625</v>
      </c>
      <c r="F48" s="33" t="s">
        <v>82</v>
      </c>
      <c r="G48" s="49"/>
      <c r="H48" s="49"/>
      <c r="I48" s="49"/>
      <c r="J48" s="49"/>
      <c r="K48" s="4"/>
      <c r="L48" s="4"/>
      <c r="M48" s="4"/>
      <c r="N48" s="4"/>
    </row>
    <row r="49" customFormat="false" ht="15" hidden="false" customHeight="true" outlineLevel="0" collapsed="false">
      <c r="A49" s="18" t="s">
        <v>410</v>
      </c>
      <c r="B49" s="19" t="n">
        <f aca="false">Forecast!H9</f>
        <v>549.842795272</v>
      </c>
      <c r="C49" s="39" t="n">
        <f aca="false">C48*$C$6</f>
        <v>422.980127196</v>
      </c>
      <c r="D49" s="39" t="n">
        <f aca="false">D48*$C$7</f>
        <v>603.596008656</v>
      </c>
      <c r="E49" s="39" t="n">
        <f aca="false">E48*$C$8</f>
        <v>331.12679875</v>
      </c>
      <c r="F49" s="33" t="s">
        <v>82</v>
      </c>
      <c r="G49" s="49"/>
      <c r="H49" s="49"/>
      <c r="I49" s="49"/>
      <c r="J49" s="49"/>
      <c r="K49" s="4"/>
      <c r="L49" s="4"/>
      <c r="M49" s="4"/>
      <c r="N49" s="4"/>
    </row>
    <row r="50" customFormat="false" ht="15" hidden="false" customHeight="true" outlineLevel="0" collapsed="false">
      <c r="A50" s="18" t="s">
        <v>411</v>
      </c>
      <c r="B50" s="19" t="n">
        <f aca="false">Forecast!H12</f>
        <v>597.842795272</v>
      </c>
      <c r="C50" s="39" t="n">
        <f aca="false">C49+Assumptions!$B$8</f>
        <v>470.980127196</v>
      </c>
      <c r="D50" s="39" t="n">
        <f aca="false">D49+Assumptions!$B$8</f>
        <v>651.596008656</v>
      </c>
      <c r="E50" s="39" t="n">
        <f aca="false">E49+Assumptions!$B$8</f>
        <v>379.12679875</v>
      </c>
      <c r="F50" s="33" t="s">
        <v>82</v>
      </c>
      <c r="G50" s="49"/>
      <c r="H50" s="49"/>
      <c r="I50" s="49"/>
      <c r="J50" s="49"/>
      <c r="K50" s="4"/>
      <c r="L50" s="4"/>
      <c r="M50" s="4"/>
      <c r="N50" s="4"/>
    </row>
    <row r="51" customFormat="false" ht="15" hidden="false" customHeight="true" outlineLevel="0" collapsed="false">
      <c r="A51" s="18" t="s">
        <v>412</v>
      </c>
      <c r="B51" s="19" t="n">
        <f aca="false">Forecast!H20</f>
        <v>439.8742362176</v>
      </c>
      <c r="C51" s="39" t="n">
        <f aca="false">C49*$C$14</f>
        <v>296.0860890372</v>
      </c>
      <c r="D51" s="39" t="n">
        <f aca="false">D49*$D$14</f>
        <v>513.0566073576</v>
      </c>
      <c r="E51" s="39" t="n">
        <f aca="false">E49*$E$14</f>
        <v>198.67607925</v>
      </c>
      <c r="F51" s="33" t="s">
        <v>82</v>
      </c>
      <c r="G51" s="49"/>
      <c r="H51" s="49"/>
      <c r="I51" s="49"/>
      <c r="J51" s="49"/>
      <c r="K51" s="4"/>
      <c r="L51" s="4"/>
      <c r="M51" s="4"/>
      <c r="N51" s="4"/>
    </row>
    <row r="52" customFormat="false" ht="23.25" hidden="false" customHeight="true" outlineLevel="0" collapsed="false">
      <c r="A52" s="18" t="s">
        <v>413</v>
      </c>
      <c r="B52" s="19" t="n">
        <f aca="false">Forecast!H21</f>
        <v>-40</v>
      </c>
      <c r="C52" s="39" t="n">
        <f aca="false">-$C$13</f>
        <v>-50</v>
      </c>
      <c r="D52" s="39" t="n">
        <f aca="false">-$D$13</f>
        <v>-35</v>
      </c>
      <c r="E52" s="39" t="n">
        <f aca="false">-$E$13</f>
        <v>-55</v>
      </c>
      <c r="F52" s="33" t="s">
        <v>82</v>
      </c>
      <c r="G52" s="49"/>
      <c r="H52" s="49"/>
      <c r="I52" s="49"/>
      <c r="J52" s="49"/>
      <c r="K52" s="4"/>
      <c r="L52" s="4"/>
      <c r="M52" s="4"/>
      <c r="N52" s="4"/>
    </row>
    <row r="53" customFormat="false" ht="15" hidden="false" customHeight="true" outlineLevel="0" collapsed="false">
      <c r="A53" s="18" t="s">
        <v>414</v>
      </c>
      <c r="B53" s="19" t="n">
        <f aca="false">Forecast!H22</f>
        <v>-148.45755472344</v>
      </c>
      <c r="C53" s="39" t="n">
        <f aca="false">-C49*Assumptions!$B$12</f>
        <v>-114.20463434292</v>
      </c>
      <c r="D53" s="39" t="n">
        <f aca="false">-D49*Assumptions!$B$12</f>
        <v>-162.97092233712</v>
      </c>
      <c r="E53" s="39" t="n">
        <f aca="false">-E49*Assumptions!$B$12</f>
        <v>-89.4042356625</v>
      </c>
      <c r="F53" s="33" t="s">
        <v>82</v>
      </c>
      <c r="G53" s="49"/>
      <c r="H53" s="49"/>
      <c r="I53" s="49"/>
      <c r="J53" s="49"/>
      <c r="K53" s="4"/>
      <c r="L53" s="4"/>
      <c r="M53" s="4"/>
      <c r="N53" s="4"/>
    </row>
    <row r="54" customFormat="false" ht="15" hidden="false" customHeight="true" outlineLevel="0" collapsed="false">
      <c r="A54" s="18" t="s">
        <v>415</v>
      </c>
      <c r="B54" s="19" t="n">
        <f aca="false">Forecast!H23</f>
        <v>-3</v>
      </c>
      <c r="C54" s="39" t="n">
        <f aca="false">-Assumptions!$B$14</f>
        <v>-3</v>
      </c>
      <c r="D54" s="39" t="n">
        <f aca="false">-Assumptions!$B$14</f>
        <v>-3</v>
      </c>
      <c r="E54" s="39" t="n">
        <f aca="false">-Assumptions!$B$14</f>
        <v>-3</v>
      </c>
      <c r="F54" s="33" t="s">
        <v>82</v>
      </c>
      <c r="G54" s="49"/>
      <c r="H54" s="49"/>
      <c r="I54" s="49"/>
      <c r="J54" s="49"/>
      <c r="K54" s="4"/>
      <c r="L54" s="4"/>
      <c r="M54" s="4"/>
      <c r="N54" s="4"/>
    </row>
    <row r="55" customFormat="false" ht="15" hidden="false" customHeight="true" outlineLevel="0" collapsed="false">
      <c r="A55" s="18" t="s">
        <v>416</v>
      </c>
      <c r="B55" s="19" t="n">
        <f aca="false">Forecast!H24</f>
        <v>248.41668149416</v>
      </c>
      <c r="C55" s="39" t="n">
        <f aca="false">SUM(C51:C54)</f>
        <v>128.88145469428</v>
      </c>
      <c r="D55" s="39" t="n">
        <f aca="false">SUM(D51:D54)</f>
        <v>312.08568502048</v>
      </c>
      <c r="E55" s="39" t="n">
        <f aca="false">SUM(E51:E54)</f>
        <v>51.2718435875</v>
      </c>
      <c r="F55" s="33" t="s">
        <v>82</v>
      </c>
      <c r="G55" s="49"/>
      <c r="H55" s="49"/>
      <c r="I55" s="49"/>
      <c r="J55" s="49"/>
      <c r="K55" s="4"/>
      <c r="L55" s="4"/>
      <c r="M55" s="4"/>
      <c r="N55" s="4"/>
    </row>
    <row r="56" customFormat="false" ht="15" hidden="false" customHeight="true" outlineLevel="0" collapsed="false">
      <c r="A56" s="18" t="s">
        <v>417</v>
      </c>
      <c r="B56" s="19" t="n">
        <f aca="false">Forecast!H30</f>
        <v>-187.6</v>
      </c>
      <c r="C56" s="39" t="n">
        <f aca="false">-($C$15*Assumptions!$B$16)</f>
        <v>-93.8</v>
      </c>
      <c r="D56" s="39" t="n">
        <f aca="false">-($D$15*Assumptions!$B$16)</f>
        <v>-187.6</v>
      </c>
      <c r="E56" s="39" t="n">
        <f aca="false">-($E$15*Assumptions!$B$16)</f>
        <v>-187.6</v>
      </c>
      <c r="F56" s="33" t="s">
        <v>82</v>
      </c>
      <c r="G56" s="49"/>
      <c r="H56" s="49"/>
      <c r="I56" s="49"/>
      <c r="J56" s="49"/>
      <c r="K56" s="4"/>
      <c r="L56" s="4"/>
      <c r="M56" s="4"/>
      <c r="N56" s="4"/>
    </row>
    <row r="57" customFormat="false" ht="23.25" hidden="false" customHeight="true" outlineLevel="0" collapsed="false">
      <c r="A57" s="18" t="s">
        <v>418</v>
      </c>
      <c r="B57" s="19" t="n">
        <f aca="false">B46-(B55+B56)</f>
        <v>494.17732908984</v>
      </c>
      <c r="C57" s="39" t="n">
        <f aca="false">C46-(C55+C56)</f>
        <v>639.50606178172</v>
      </c>
      <c r="D57" s="39" t="n">
        <f aca="false">D46-(D55+D56)</f>
        <v>315.00162395552</v>
      </c>
      <c r="E57" s="39" t="n">
        <f aca="false">E46-(E55+E56)</f>
        <v>1059.4283281625</v>
      </c>
      <c r="F57" s="33" t="s">
        <v>82</v>
      </c>
      <c r="G57" s="49"/>
      <c r="H57" s="49"/>
      <c r="I57" s="49"/>
      <c r="J57" s="49"/>
      <c r="K57" s="4"/>
      <c r="L57" s="4"/>
      <c r="M57" s="4"/>
      <c r="N57" s="4"/>
    </row>
    <row r="58" customFormat="false" ht="15" hidden="false" customHeight="true" outlineLevel="0" collapsed="false">
      <c r="A58" s="18" t="s">
        <v>419</v>
      </c>
      <c r="B58" s="19" t="n">
        <f aca="false">B47+B55+B56</f>
        <v>421.82267091016</v>
      </c>
      <c r="C58" s="39" t="n">
        <f aca="false">C47+C55+C56</f>
        <v>276.49393821828</v>
      </c>
      <c r="D58" s="39" t="n">
        <f aca="false">D47+D55+D56</f>
        <v>600.99837604448</v>
      </c>
      <c r="E58" s="39" t="n">
        <f aca="false">E47+E55+E56</f>
        <v>-143.4283281625</v>
      </c>
      <c r="F58" s="33" t="s">
        <v>82</v>
      </c>
      <c r="G58" s="49"/>
      <c r="H58" s="49"/>
      <c r="I58" s="49"/>
      <c r="J58" s="49"/>
      <c r="K58" s="4"/>
      <c r="L58" s="4"/>
      <c r="M58" s="4"/>
      <c r="N58" s="4"/>
    </row>
    <row r="59" customFormat="false" ht="15" hidden="false" customHeight="true" outlineLevel="0" collapsed="false">
      <c r="A59" s="18" t="s">
        <v>420</v>
      </c>
      <c r="B59" s="19" t="n">
        <f aca="false">MIN(B36,B47,B58)</f>
        <v>303.0746216</v>
      </c>
      <c r="C59" s="39" t="n">
        <f aca="false">MIN(C36,C47,C58)</f>
        <v>200.7058292</v>
      </c>
      <c r="D59" s="39" t="n">
        <f aca="false">MIN(D36,D47,D58)</f>
        <v>358.8914312</v>
      </c>
      <c r="E59" s="39" t="n">
        <f aca="false">MIN(E36,E47,E58)</f>
        <v>-143.4283281625</v>
      </c>
      <c r="F59" s="33" t="s">
        <v>82</v>
      </c>
      <c r="G59" s="49"/>
      <c r="H59" s="49"/>
      <c r="I59" s="49"/>
      <c r="J59" s="49"/>
      <c r="K59" s="4"/>
      <c r="L59" s="4"/>
      <c r="M59" s="4"/>
      <c r="N59" s="4"/>
    </row>
    <row r="60" customFormat="false" ht="15" hidden="false" customHeight="true" outlineLevel="0" collapsed="false">
      <c r="A60" s="18" t="s">
        <v>421</v>
      </c>
      <c r="B60" s="19" t="str">
        <f aca="false">IF(B59&lt;Assumptions!$B$44,"Yes","No")</f>
        <v>No</v>
      </c>
      <c r="C60" s="39" t="str">
        <f aca="false">IF(C59&lt;Assumptions!$B$44,"Yes","No")</f>
        <v>Yes</v>
      </c>
      <c r="D60" s="39" t="str">
        <f aca="false">IF(D59&lt;Assumptions!$B$44,"Yes","No")</f>
        <v>No</v>
      </c>
      <c r="E60" s="39" t="str">
        <f aca="false">IF(E59&lt;Assumptions!$B$44,"Yes","No")</f>
        <v>Yes</v>
      </c>
      <c r="F60" s="33" t="s">
        <v>422</v>
      </c>
      <c r="G60" s="49"/>
      <c r="H60" s="49"/>
      <c r="I60" s="49"/>
      <c r="J60" s="49"/>
      <c r="K60" s="4"/>
      <c r="L60" s="4"/>
      <c r="M60" s="4"/>
      <c r="N60" s="4"/>
    </row>
    <row r="61" customFormat="false" ht="23.25" hidden="false" customHeight="true" outlineLevel="0" collapsed="false">
      <c r="A61" s="18" t="s">
        <v>423</v>
      </c>
      <c r="B61" s="19" t="n">
        <f aca="false">Forecast!H15</f>
        <v>571.842795272</v>
      </c>
      <c r="C61" s="39" t="n">
        <f aca="false">C49+Assumptions!$B$8-Assumptions!$B$9-Assumptions!$B$10</f>
        <v>444.980127196</v>
      </c>
      <c r="D61" s="39" t="n">
        <f aca="false">D49+Assumptions!$B$8-Assumptions!$B$9-Assumptions!$B$10</f>
        <v>625.596008656</v>
      </c>
      <c r="E61" s="39" t="n">
        <f aca="false">E49+Assumptions!$B$8-Assumptions!$B$9-Assumptions!$B$10</f>
        <v>353.12679875</v>
      </c>
      <c r="F61" s="33" t="s">
        <v>82</v>
      </c>
      <c r="G61" s="49"/>
      <c r="H61" s="49"/>
      <c r="I61" s="49"/>
      <c r="J61" s="49"/>
      <c r="K61" s="4"/>
      <c r="L61" s="4"/>
      <c r="M61" s="4"/>
      <c r="N61" s="4"/>
    </row>
    <row r="62" customFormat="false" ht="15" hidden="false" customHeight="true" outlineLevel="0" collapsed="false">
      <c r="A62" s="18" t="s">
        <v>424</v>
      </c>
      <c r="B62" s="19" t="n">
        <f aca="false">B57+(Forecast!H38-Forecast!H35)</f>
        <v>416.17732908984</v>
      </c>
      <c r="C62" s="39" t="n">
        <f aca="false">C57+(Forecast!H38-Forecast!H35)</f>
        <v>561.50606178172</v>
      </c>
      <c r="D62" s="39" t="n">
        <f aca="false">D57+(Forecast!H38-Forecast!H35)</f>
        <v>237.00162395552</v>
      </c>
      <c r="E62" s="39" t="n">
        <f aca="false">E57+(Forecast!H38-Forecast!H35)</f>
        <v>981.4283281625</v>
      </c>
      <c r="F62" s="33" t="s">
        <v>82</v>
      </c>
      <c r="G62" s="49"/>
      <c r="H62" s="49"/>
      <c r="I62" s="49"/>
      <c r="J62" s="49"/>
      <c r="K62" s="4"/>
      <c r="L62" s="4"/>
      <c r="M62" s="4"/>
      <c r="N62" s="4"/>
    </row>
    <row r="63" customFormat="false" ht="15" hidden="false" customHeight="true" outlineLevel="0" collapsed="false">
      <c r="A63" s="18" t="s">
        <v>7</v>
      </c>
      <c r="B63" s="86" t="n">
        <f aca="false">B62/B61</f>
        <v>0.727782762204573</v>
      </c>
      <c r="C63" s="87" t="n">
        <f aca="false">C62/C61</f>
        <v>1.26186772726233</v>
      </c>
      <c r="D63" s="87" t="n">
        <f aca="false">D62/D61</f>
        <v>0.378841329989753</v>
      </c>
      <c r="E63" s="87" t="n">
        <f aca="false">E62/E61</f>
        <v>2.77925190508499</v>
      </c>
      <c r="F63" s="33" t="s">
        <v>425</v>
      </c>
      <c r="G63" s="49"/>
      <c r="H63" s="49"/>
      <c r="I63" s="49"/>
      <c r="J63" s="49"/>
      <c r="K63" s="4"/>
      <c r="L63" s="4"/>
      <c r="M63" s="4"/>
      <c r="N63" s="4"/>
    </row>
    <row r="64" customFormat="false" ht="15" hidden="false" customHeight="true" outlineLevel="0" collapsed="false">
      <c r="A64" s="45"/>
      <c r="B64" s="49"/>
      <c r="C64" s="49"/>
      <c r="D64" s="49"/>
      <c r="E64" s="49"/>
      <c r="F64" s="49"/>
      <c r="G64" s="49"/>
      <c r="H64" s="49"/>
      <c r="I64" s="49"/>
      <c r="J64" s="49"/>
      <c r="K64" s="4"/>
      <c r="L64" s="4"/>
      <c r="M64" s="4"/>
      <c r="N64" s="4"/>
    </row>
    <row r="65" customFormat="false" ht="15" hidden="false" customHeight="true" outlineLevel="0" collapsed="false">
      <c r="A65" s="46" t="s">
        <v>426</v>
      </c>
      <c r="B65" s="65"/>
      <c r="C65" s="65"/>
      <c r="D65" s="65"/>
      <c r="E65" s="65"/>
      <c r="F65" s="65"/>
      <c r="G65" s="49"/>
      <c r="H65" s="49"/>
      <c r="I65" s="49"/>
      <c r="J65" s="49"/>
      <c r="K65" s="4"/>
      <c r="L65" s="4"/>
      <c r="M65" s="4"/>
      <c r="N65" s="4"/>
    </row>
    <row r="66" customFormat="false" ht="15" hidden="false" customHeight="true" outlineLevel="0" collapsed="false">
      <c r="A66" s="58" t="s">
        <v>427</v>
      </c>
      <c r="B66" s="67" t="s">
        <v>428</v>
      </c>
      <c r="C66" s="49"/>
      <c r="D66" s="49"/>
      <c r="E66" s="49"/>
      <c r="F66" s="49"/>
      <c r="G66" s="49"/>
      <c r="H66" s="49"/>
      <c r="I66" s="49"/>
      <c r="J66" s="49"/>
      <c r="K66" s="4"/>
      <c r="L66" s="4"/>
      <c r="M66" s="4"/>
      <c r="N66" s="4"/>
    </row>
    <row r="67" customFormat="false" ht="15" hidden="false" customHeight="true" outlineLevel="0" collapsed="false">
      <c r="A67" s="18" t="s">
        <v>429</v>
      </c>
      <c r="B67" s="74" t="n">
        <f aca="false">ROUND(B29-Forecast!F24,1)</f>
        <v>0</v>
      </c>
      <c r="C67" s="49"/>
      <c r="D67" s="49"/>
      <c r="E67" s="49"/>
      <c r="F67" s="49"/>
      <c r="G67" s="49"/>
      <c r="H67" s="49"/>
      <c r="I67" s="49"/>
      <c r="J67" s="49"/>
      <c r="K67" s="4"/>
      <c r="L67" s="4"/>
      <c r="M67" s="4"/>
      <c r="N67" s="4"/>
    </row>
    <row r="68" customFormat="false" ht="15" hidden="false" customHeight="true" outlineLevel="0" collapsed="false">
      <c r="A68" s="18" t="s">
        <v>405</v>
      </c>
      <c r="B68" s="74" t="n">
        <f aca="false">ROUND(B44-Forecast!G24,1)</f>
        <v>0</v>
      </c>
      <c r="C68" s="49"/>
      <c r="D68" s="49"/>
      <c r="E68" s="49"/>
      <c r="F68" s="49"/>
      <c r="G68" s="49"/>
      <c r="H68" s="49"/>
      <c r="I68" s="49"/>
      <c r="J68" s="49"/>
      <c r="K68" s="4"/>
      <c r="L68" s="4"/>
      <c r="M68" s="4"/>
      <c r="N68" s="4"/>
    </row>
    <row r="69" customFormat="false" ht="15" hidden="false" customHeight="true" outlineLevel="0" collapsed="false">
      <c r="A69" s="18" t="s">
        <v>416</v>
      </c>
      <c r="B69" s="74" t="n">
        <f aca="false">ROUND(B55-Forecast!H24,1)</f>
        <v>0</v>
      </c>
      <c r="C69" s="49"/>
      <c r="D69" s="49"/>
      <c r="E69" s="49"/>
      <c r="F69" s="49"/>
      <c r="G69" s="49"/>
      <c r="H69" s="49"/>
      <c r="I69" s="49"/>
      <c r="J69" s="49"/>
      <c r="K69" s="4"/>
      <c r="L69" s="4"/>
      <c r="M69" s="4"/>
      <c r="N69" s="4"/>
    </row>
    <row r="70" customFormat="false" ht="15" hidden="false" customHeight="true" outlineLevel="0" collapsed="false">
      <c r="A70" s="18" t="s">
        <v>430</v>
      </c>
      <c r="B70" s="74" t="n">
        <f aca="false">ROUND(B35-Forecast!F35,1)</f>
        <v>0</v>
      </c>
      <c r="C70" s="49"/>
      <c r="D70" s="49"/>
      <c r="E70" s="49"/>
      <c r="F70" s="49"/>
      <c r="G70" s="49"/>
      <c r="H70" s="49"/>
      <c r="I70" s="49"/>
      <c r="J70" s="49"/>
      <c r="K70" s="4"/>
      <c r="L70" s="4"/>
      <c r="M70" s="4"/>
      <c r="N70" s="4"/>
    </row>
    <row r="71" customFormat="false" ht="15" hidden="false" customHeight="true" outlineLevel="0" collapsed="false">
      <c r="A71" s="18" t="s">
        <v>431</v>
      </c>
      <c r="B71" s="74" t="n">
        <f aca="false">ROUND(B57-Forecast!H35,1)</f>
        <v>0</v>
      </c>
      <c r="C71" s="49"/>
      <c r="D71" s="49"/>
      <c r="E71" s="49"/>
      <c r="F71" s="49"/>
      <c r="G71" s="49"/>
      <c r="H71" s="49"/>
      <c r="I71" s="49"/>
      <c r="J71" s="49"/>
      <c r="K71" s="4"/>
      <c r="L71" s="4"/>
      <c r="M71" s="4"/>
      <c r="N71" s="4"/>
    </row>
    <row r="72" customFormat="false" ht="15" hidden="false" customHeight="true" outlineLevel="0" collapsed="false">
      <c r="A72" s="18" t="s">
        <v>419</v>
      </c>
      <c r="B72" s="74" t="n">
        <f aca="false">ROUND(B58-Forecast!H36,1)</f>
        <v>0</v>
      </c>
      <c r="C72" s="49"/>
      <c r="D72" s="49"/>
      <c r="E72" s="49"/>
      <c r="F72" s="49"/>
      <c r="G72" s="49"/>
      <c r="H72" s="49"/>
      <c r="I72" s="49"/>
      <c r="J72" s="49"/>
      <c r="K72" s="4"/>
      <c r="L72" s="4"/>
      <c r="M72" s="4"/>
      <c r="N72" s="4"/>
    </row>
    <row r="73" customFormat="false" ht="15" hidden="false" customHeight="true" outlineLevel="0" collapsed="false">
      <c r="A73" s="18" t="s">
        <v>7</v>
      </c>
      <c r="B73" s="74" t="n">
        <f aca="false">ROUND(B63-Forecast!H39,2)</f>
        <v>0</v>
      </c>
      <c r="C73" s="49"/>
      <c r="D73" s="49"/>
      <c r="E73" s="49"/>
      <c r="F73" s="49"/>
      <c r="G73" s="49"/>
      <c r="H73" s="49"/>
      <c r="I73" s="49"/>
      <c r="J73" s="49"/>
      <c r="K73" s="4"/>
      <c r="L73" s="4"/>
      <c r="M73" s="4"/>
      <c r="N73" s="4"/>
    </row>
    <row r="74" customFormat="false" ht="15" hidden="false" customHeight="true" outlineLevel="0" collapsed="false">
      <c r="A74" s="18" t="s">
        <v>432</v>
      </c>
      <c r="B74" s="33" t="str">
        <f aca="false">IF(MAX(ABS(B67),ABS(B68),ABS(B69),ABS(B70),ABS(B71),ABS(B72),ABS(B73))=0,"OK","CHECK")</f>
        <v>OK</v>
      </c>
      <c r="C74" s="49"/>
      <c r="D74" s="49"/>
      <c r="E74" s="49"/>
      <c r="F74" s="49"/>
      <c r="G74" s="49"/>
      <c r="H74" s="49"/>
      <c r="I74" s="49"/>
      <c r="J74" s="49"/>
      <c r="K74" s="4"/>
      <c r="L74" s="4"/>
      <c r="M74" s="4"/>
      <c r="N74" s="4"/>
    </row>
    <row r="75" customFormat="false" ht="15" hidden="false" customHeight="true" outlineLevel="0" collapsed="false">
      <c r="A75" s="45"/>
      <c r="B75" s="49"/>
      <c r="C75" s="49"/>
      <c r="D75" s="49"/>
      <c r="E75" s="49"/>
      <c r="F75" s="49"/>
      <c r="G75" s="49"/>
      <c r="H75" s="49"/>
      <c r="I75" s="49"/>
      <c r="J75" s="49"/>
      <c r="K75" s="4"/>
      <c r="L75" s="4"/>
      <c r="M75" s="4"/>
      <c r="N75" s="4"/>
    </row>
    <row r="76" customFormat="false" ht="15" hidden="false" customHeight="true" outlineLevel="0" collapsed="false">
      <c r="A76" s="45"/>
      <c r="B76" s="49"/>
      <c r="C76" s="49"/>
      <c r="D76" s="49"/>
      <c r="E76" s="49"/>
      <c r="F76" s="49"/>
      <c r="G76" s="49"/>
      <c r="H76" s="49"/>
      <c r="I76" s="49"/>
      <c r="J76" s="49"/>
      <c r="K76" s="4"/>
      <c r="L76" s="4"/>
      <c r="M76" s="4"/>
      <c r="N76" s="4"/>
    </row>
    <row r="77" customFormat="false" ht="15" hidden="false" customHeight="true" outlineLevel="0" collapsed="false">
      <c r="A77" s="45"/>
      <c r="B77" s="49"/>
      <c r="C77" s="49"/>
      <c r="D77" s="49"/>
      <c r="E77" s="49"/>
      <c r="F77" s="49"/>
      <c r="G77" s="49"/>
      <c r="H77" s="49"/>
      <c r="I77" s="49"/>
      <c r="J77" s="49"/>
      <c r="K77" s="4"/>
      <c r="L77" s="4"/>
      <c r="M77" s="4"/>
      <c r="N77" s="4"/>
    </row>
    <row r="78" customFormat="false" ht="15" hidden="false" customHeight="true" outlineLevel="0" collapsed="false">
      <c r="A78" s="45"/>
      <c r="B78" s="49"/>
      <c r="C78" s="49"/>
      <c r="D78" s="49"/>
      <c r="E78" s="49"/>
      <c r="F78" s="49"/>
      <c r="G78" s="49"/>
      <c r="H78" s="49"/>
      <c r="I78" s="49"/>
      <c r="J78" s="49"/>
      <c r="K78" s="4"/>
      <c r="L78" s="4"/>
      <c r="M78" s="4"/>
      <c r="N78" s="4"/>
    </row>
    <row r="79" customFormat="false" ht="15" hidden="false" customHeight="true" outlineLevel="0" collapsed="false">
      <c r="A79" s="45"/>
      <c r="B79" s="49"/>
      <c r="C79" s="49"/>
      <c r="D79" s="49"/>
      <c r="E79" s="49"/>
      <c r="F79" s="49"/>
      <c r="G79" s="49"/>
      <c r="H79" s="49"/>
      <c r="I79" s="49"/>
      <c r="J79" s="49"/>
      <c r="K79" s="4"/>
      <c r="L79" s="4"/>
      <c r="M79" s="4"/>
      <c r="N79" s="4"/>
    </row>
    <row r="80" customFormat="false" ht="15" hidden="false" customHeight="true" outlineLevel="0" collapsed="false">
      <c r="A80" s="45"/>
      <c r="B80" s="49"/>
      <c r="C80" s="49"/>
      <c r="D80" s="49"/>
      <c r="E80" s="49"/>
      <c r="F80" s="49"/>
      <c r="G80" s="49"/>
      <c r="H80" s="49"/>
      <c r="I80" s="49"/>
      <c r="J80" s="49"/>
      <c r="K80" s="4"/>
      <c r="L80" s="4"/>
      <c r="M80" s="4"/>
      <c r="N80" s="4"/>
    </row>
    <row r="81" customFormat="false" ht="15" hidden="false" customHeight="true" outlineLevel="0" collapsed="false">
      <c r="A81" s="45"/>
      <c r="B81" s="49"/>
      <c r="C81" s="49"/>
      <c r="D81" s="49"/>
      <c r="E81" s="49"/>
      <c r="F81" s="49"/>
      <c r="G81" s="49"/>
      <c r="H81" s="49"/>
      <c r="I81" s="49"/>
      <c r="J81" s="49"/>
      <c r="K81" s="4"/>
      <c r="L81" s="4"/>
      <c r="M81" s="4"/>
      <c r="N81" s="4"/>
    </row>
    <row r="82" customFormat="false" ht="15" hidden="false" customHeight="true" outlineLevel="0" collapsed="false">
      <c r="A82" s="45"/>
      <c r="B82" s="49"/>
      <c r="C82" s="49"/>
      <c r="D82" s="49"/>
      <c r="E82" s="49"/>
      <c r="F82" s="49"/>
      <c r="G82" s="49"/>
      <c r="H82" s="49"/>
      <c r="I82" s="49"/>
      <c r="J82" s="49"/>
      <c r="K82" s="4"/>
      <c r="L82" s="4"/>
      <c r="M82" s="4"/>
      <c r="N82" s="4"/>
    </row>
    <row r="83" customFormat="false" ht="15" hidden="false" customHeight="true" outlineLevel="0" collapsed="false">
      <c r="A83" s="45"/>
      <c r="B83" s="49"/>
      <c r="C83" s="49"/>
      <c r="D83" s="49"/>
      <c r="E83" s="49"/>
      <c r="F83" s="49"/>
      <c r="G83" s="49"/>
      <c r="H83" s="49"/>
      <c r="I83" s="49"/>
      <c r="J83" s="49"/>
      <c r="K83" s="4"/>
      <c r="L83" s="4"/>
      <c r="M83" s="4"/>
      <c r="N83" s="4"/>
    </row>
    <row r="84" customFormat="false" ht="15" hidden="false" customHeight="true" outlineLevel="0" collapsed="false">
      <c r="A84" s="45"/>
      <c r="B84" s="49"/>
      <c r="C84" s="49"/>
      <c r="D84" s="49"/>
      <c r="E84" s="49"/>
      <c r="F84" s="49"/>
      <c r="G84" s="49"/>
      <c r="H84" s="49"/>
      <c r="I84" s="49"/>
      <c r="J84" s="49"/>
      <c r="K84" s="4"/>
      <c r="L84" s="4"/>
      <c r="M84" s="4"/>
      <c r="N84" s="4"/>
    </row>
    <row r="85" customFormat="false" ht="15" hidden="false" customHeight="true" outlineLevel="0" collapsed="false">
      <c r="A85" s="45"/>
      <c r="B85" s="49"/>
      <c r="C85" s="49"/>
      <c r="D85" s="49"/>
      <c r="E85" s="49"/>
      <c r="F85" s="49"/>
      <c r="G85" s="49"/>
      <c r="H85" s="49"/>
      <c r="I85" s="49"/>
      <c r="J85" s="49"/>
      <c r="K85" s="4"/>
      <c r="L85" s="4"/>
      <c r="M85" s="4"/>
      <c r="N85" s="4"/>
    </row>
    <row r="86" customFormat="false" ht="15" hidden="false" customHeight="true" outlineLevel="0" collapsed="false">
      <c r="A86" s="45"/>
      <c r="B86" s="49"/>
      <c r="C86" s="49"/>
      <c r="D86" s="49"/>
      <c r="E86" s="49"/>
      <c r="F86" s="49"/>
      <c r="G86" s="49"/>
      <c r="H86" s="49"/>
      <c r="I86" s="49"/>
      <c r="J86" s="49"/>
      <c r="K86" s="4"/>
      <c r="L86" s="4"/>
      <c r="M86" s="4"/>
      <c r="N86" s="4"/>
    </row>
    <row r="87" customFormat="false" ht="15" hidden="false" customHeight="true" outlineLevel="0" collapsed="false">
      <c r="A87" s="45"/>
      <c r="B87" s="49"/>
      <c r="C87" s="49"/>
      <c r="D87" s="49"/>
      <c r="E87" s="49"/>
      <c r="F87" s="49"/>
      <c r="G87" s="49"/>
      <c r="H87" s="49"/>
      <c r="I87" s="49"/>
      <c r="J87" s="49"/>
      <c r="K87" s="4"/>
      <c r="L87" s="4"/>
      <c r="M87" s="4"/>
      <c r="N87" s="4"/>
    </row>
    <row r="88" customFormat="false" ht="15" hidden="false" customHeight="true" outlineLevel="0" collapsed="false">
      <c r="A88" s="45"/>
      <c r="B88" s="49"/>
      <c r="C88" s="49"/>
      <c r="D88" s="49"/>
      <c r="E88" s="49"/>
      <c r="F88" s="49"/>
      <c r="G88" s="49"/>
      <c r="H88" s="49"/>
      <c r="I88" s="49"/>
      <c r="J88" s="49"/>
      <c r="K88" s="4"/>
      <c r="L88" s="4"/>
      <c r="M88" s="4"/>
      <c r="N88" s="4"/>
    </row>
    <row r="89" customFormat="false" ht="15" hidden="false" customHeight="true" outlineLevel="0" collapsed="false">
      <c r="A89" s="46" t="s">
        <v>433</v>
      </c>
      <c r="B89" s="65"/>
      <c r="C89" s="49"/>
      <c r="D89" s="49"/>
      <c r="E89" s="49"/>
      <c r="F89" s="49"/>
      <c r="G89" s="49"/>
      <c r="H89" s="49"/>
      <c r="I89" s="49"/>
      <c r="J89" s="49"/>
      <c r="K89" s="4"/>
      <c r="L89" s="4"/>
      <c r="M89" s="4"/>
      <c r="N89" s="4"/>
    </row>
    <row r="90" customFormat="false" ht="15" hidden="false" customHeight="true" outlineLevel="0" collapsed="false">
      <c r="A90" s="58" t="s">
        <v>434</v>
      </c>
      <c r="B90" s="67" t="str">
        <f aca="false">B74</f>
        <v>OK</v>
      </c>
      <c r="C90" s="49"/>
      <c r="D90" s="49"/>
      <c r="E90" s="49"/>
      <c r="F90" s="49"/>
      <c r="G90" s="49"/>
      <c r="H90" s="49"/>
      <c r="I90" s="49"/>
      <c r="J90" s="49"/>
      <c r="K90" s="4"/>
      <c r="L90" s="4"/>
      <c r="M90" s="4"/>
      <c r="N90" s="4"/>
    </row>
    <row r="91" customFormat="false" ht="15" hidden="false" customHeight="true" outlineLevel="0" collapsed="false">
      <c r="A91" s="58" t="s">
        <v>432</v>
      </c>
      <c r="B91" s="67" t="str">
        <f aca="false">B74</f>
        <v>OK</v>
      </c>
      <c r="C91" s="49"/>
      <c r="D91" s="49"/>
      <c r="E91" s="49"/>
      <c r="F91" s="49"/>
      <c r="G91" s="49"/>
      <c r="H91" s="49"/>
      <c r="I91" s="49"/>
      <c r="J91" s="49"/>
      <c r="K91" s="4"/>
      <c r="L91" s="4"/>
      <c r="M91" s="4"/>
      <c r="N91" s="4"/>
    </row>
    <row r="92" customFormat="false" ht="15" hidden="false" customHeight="true" outlineLevel="0" collapsed="false">
      <c r="A92" s="45"/>
      <c r="B92" s="49"/>
      <c r="C92" s="49"/>
      <c r="D92" s="49"/>
      <c r="E92" s="49"/>
      <c r="F92" s="49"/>
      <c r="G92" s="49"/>
      <c r="H92" s="49"/>
      <c r="I92" s="49"/>
      <c r="J92" s="49"/>
      <c r="K92" s="4"/>
      <c r="L92" s="4"/>
      <c r="M92" s="4"/>
      <c r="N92" s="4"/>
    </row>
    <row r="93" customFormat="false" ht="15" hidden="false" customHeight="true" outlineLevel="0" collapsed="false">
      <c r="A93" s="45"/>
      <c r="B93" s="49"/>
      <c r="C93" s="49"/>
      <c r="D93" s="49"/>
      <c r="E93" s="49"/>
      <c r="F93" s="49"/>
      <c r="G93" s="49"/>
      <c r="H93" s="49"/>
      <c r="I93" s="49"/>
      <c r="J93" s="49"/>
      <c r="K93" s="4"/>
      <c r="L93" s="4"/>
      <c r="M93" s="4"/>
      <c r="N93" s="4"/>
    </row>
    <row r="94" customFormat="false" ht="15" hidden="false" customHeight="true" outlineLevel="0" collapsed="false">
      <c r="A94" s="45"/>
      <c r="B94" s="49"/>
      <c r="C94" s="49"/>
      <c r="D94" s="49"/>
      <c r="E94" s="49"/>
      <c r="F94" s="49"/>
      <c r="G94" s="49"/>
      <c r="H94" s="49"/>
      <c r="I94" s="49"/>
      <c r="J94" s="49"/>
      <c r="K94" s="4"/>
      <c r="L94" s="4"/>
      <c r="M94" s="4"/>
      <c r="N94" s="4"/>
    </row>
    <row r="95" customFormat="false" ht="15" hidden="false" customHeight="true" outlineLevel="0" collapsed="false">
      <c r="A95" s="45"/>
      <c r="B95" s="49"/>
      <c r="C95" s="49"/>
      <c r="D95" s="49"/>
      <c r="E95" s="49"/>
      <c r="F95" s="49"/>
      <c r="G95" s="49"/>
      <c r="H95" s="49"/>
      <c r="I95" s="49"/>
      <c r="J95" s="49"/>
      <c r="K95" s="4"/>
      <c r="L95" s="4"/>
      <c r="M95" s="4"/>
      <c r="N95" s="4"/>
    </row>
    <row r="96" customFormat="false" ht="15" hidden="false" customHeight="true" outlineLevel="0" collapsed="false">
      <c r="A96" s="45"/>
      <c r="B96" s="49"/>
      <c r="C96" s="49"/>
      <c r="D96" s="49"/>
      <c r="E96" s="49"/>
      <c r="F96" s="49"/>
      <c r="G96" s="49"/>
      <c r="H96" s="49"/>
      <c r="I96" s="49"/>
      <c r="J96" s="49"/>
      <c r="K96" s="4"/>
      <c r="L96" s="4"/>
      <c r="M96" s="4"/>
      <c r="N96" s="4"/>
    </row>
    <row r="97" customFormat="false" ht="15" hidden="false" customHeight="true" outlineLevel="0" collapsed="false">
      <c r="A97" s="45"/>
      <c r="B97" s="49"/>
      <c r="C97" s="49"/>
      <c r="D97" s="49"/>
      <c r="E97" s="49"/>
      <c r="F97" s="49"/>
      <c r="G97" s="49"/>
      <c r="H97" s="49"/>
      <c r="I97" s="49"/>
      <c r="J97" s="49"/>
      <c r="K97" s="4"/>
      <c r="L97" s="4"/>
      <c r="M97" s="4"/>
      <c r="N97" s="4"/>
    </row>
    <row r="98" customFormat="false" ht="15" hidden="false" customHeight="true" outlineLevel="0" collapsed="false">
      <c r="A98" s="45"/>
      <c r="B98" s="49"/>
      <c r="C98" s="49"/>
      <c r="D98" s="49"/>
      <c r="E98" s="49"/>
      <c r="F98" s="49"/>
      <c r="G98" s="49"/>
      <c r="H98" s="49"/>
      <c r="I98" s="49"/>
      <c r="J98" s="49"/>
      <c r="K98" s="4"/>
      <c r="L98" s="4"/>
      <c r="M98" s="4"/>
      <c r="N98" s="4"/>
    </row>
    <row r="99" customFormat="false" ht="15" hidden="false" customHeight="true" outlineLevel="0" collapsed="false">
      <c r="A99" s="45"/>
      <c r="B99" s="49"/>
      <c r="C99" s="49"/>
      <c r="D99" s="49"/>
      <c r="E99" s="49"/>
      <c r="F99" s="49"/>
      <c r="G99" s="49"/>
      <c r="H99" s="49"/>
      <c r="I99" s="49"/>
      <c r="J99" s="49"/>
      <c r="K99" s="4"/>
      <c r="L99" s="4"/>
      <c r="M99" s="4"/>
      <c r="N99" s="4"/>
    </row>
    <row r="100" customFormat="false" ht="15" hidden="false" customHeight="true" outlineLevel="0" collapsed="false">
      <c r="A100" s="45"/>
      <c r="B100" s="49"/>
      <c r="C100" s="49"/>
      <c r="D100" s="49"/>
      <c r="E100" s="49"/>
      <c r="F100" s="49"/>
      <c r="G100" s="49"/>
      <c r="H100" s="49"/>
      <c r="I100" s="49"/>
      <c r="J100" s="49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3">
    <mergeCell ref="A1:J1"/>
    <mergeCell ref="A2:J2"/>
    <mergeCell ref="A11:J11"/>
  </mergeCells>
  <conditionalFormatting sqref="H5:H8">
    <cfRule type="expression" priority="2" aboveAverage="0" equalAverage="0" bottom="0" percent="0" rank="0" text="" dxfId="0">
      <formula>H5="Yes"</formula>
    </cfRule>
    <cfRule type="expression" priority="3" aboveAverage="0" equalAverage="0" bottom="0" percent="0" rank="0" text="" dxfId="1">
      <formula>H5="No"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48" t="s">
        <v>435</v>
      </c>
      <c r="B1" s="48"/>
      <c r="C1" s="48"/>
      <c r="D1" s="48"/>
      <c r="E1" s="48"/>
      <c r="F1" s="48"/>
      <c r="G1" s="65"/>
      <c r="H1" s="65"/>
      <c r="I1" s="65"/>
      <c r="J1" s="65"/>
      <c r="K1" s="4"/>
      <c r="L1" s="4"/>
      <c r="M1" s="4"/>
      <c r="N1" s="4"/>
    </row>
    <row r="2" customFormat="false" ht="30" hidden="false" customHeight="true" outlineLevel="0" collapsed="false">
      <c r="A2" s="5" t="s">
        <v>436</v>
      </c>
      <c r="B2" s="5"/>
      <c r="C2" s="5"/>
      <c r="D2" s="5"/>
      <c r="E2" s="5"/>
      <c r="F2" s="5"/>
      <c r="G2" s="49"/>
      <c r="H2" s="49"/>
      <c r="I2" s="49"/>
      <c r="J2" s="49"/>
      <c r="K2" s="4"/>
      <c r="L2" s="4"/>
      <c r="M2" s="4"/>
      <c r="N2" s="4"/>
    </row>
    <row r="3" customFormat="false" ht="15" hidden="false" customHeight="true" outlineLevel="0" collapsed="false">
      <c r="A3" s="45"/>
      <c r="B3" s="49"/>
      <c r="C3" s="49"/>
      <c r="D3" s="49"/>
      <c r="E3" s="49"/>
      <c r="F3" s="49"/>
      <c r="G3" s="49"/>
      <c r="H3" s="49"/>
      <c r="I3" s="49"/>
      <c r="J3" s="49"/>
      <c r="K3" s="4"/>
      <c r="L3" s="4"/>
      <c r="M3" s="4"/>
      <c r="N3" s="4"/>
    </row>
    <row r="4" customFormat="false" ht="18.75" hidden="false" customHeight="true" outlineLevel="0" collapsed="false">
      <c r="A4" s="46" t="s">
        <v>437</v>
      </c>
      <c r="B4" s="46"/>
      <c r="C4" s="46"/>
      <c r="D4" s="46"/>
      <c r="E4" s="46"/>
      <c r="F4" s="46"/>
      <c r="G4" s="49"/>
      <c r="H4" s="49"/>
      <c r="I4" s="49"/>
      <c r="J4" s="49"/>
      <c r="K4" s="4"/>
      <c r="L4" s="4"/>
      <c r="M4" s="4"/>
      <c r="N4" s="4"/>
    </row>
    <row r="5" customFormat="false" ht="15" hidden="false" customHeight="true" outlineLevel="0" collapsed="false">
      <c r="A5" s="8" t="s">
        <v>111</v>
      </c>
      <c r="B5" s="9" t="s">
        <v>59</v>
      </c>
      <c r="C5" s="49"/>
      <c r="D5" s="49"/>
      <c r="E5" s="49"/>
      <c r="F5" s="49"/>
      <c r="G5" s="49"/>
      <c r="H5" s="49"/>
      <c r="I5" s="49"/>
      <c r="J5" s="49"/>
      <c r="K5" s="4"/>
      <c r="L5" s="4"/>
      <c r="M5" s="4"/>
      <c r="N5" s="4"/>
    </row>
    <row r="6" customFormat="false" ht="15" hidden="false" customHeight="true" outlineLevel="0" collapsed="false">
      <c r="A6" s="18" t="s">
        <v>438</v>
      </c>
      <c r="B6" s="19" t="n">
        <v>250</v>
      </c>
      <c r="C6" s="49"/>
      <c r="D6" s="49"/>
      <c r="E6" s="49"/>
      <c r="F6" s="49"/>
      <c r="G6" s="49"/>
      <c r="H6" s="49"/>
      <c r="I6" s="49"/>
      <c r="J6" s="49"/>
      <c r="K6" s="4"/>
      <c r="L6" s="4"/>
      <c r="M6" s="4"/>
      <c r="N6" s="4"/>
    </row>
    <row r="7" customFormat="false" ht="15" hidden="false" customHeight="true" outlineLevel="0" collapsed="false">
      <c r="A7" s="18" t="s">
        <v>117</v>
      </c>
      <c r="B7" s="34" t="s">
        <v>439</v>
      </c>
      <c r="C7" s="49"/>
      <c r="D7" s="49"/>
      <c r="E7" s="49"/>
      <c r="F7" s="49"/>
      <c r="G7" s="49"/>
      <c r="H7" s="49"/>
      <c r="I7" s="49"/>
      <c r="J7" s="49"/>
      <c r="K7" s="4"/>
      <c r="L7" s="4"/>
      <c r="M7" s="4"/>
      <c r="N7" s="4"/>
    </row>
    <row r="8" customFormat="false" ht="15" hidden="false" customHeight="true" outlineLevel="0" collapsed="false">
      <c r="A8" s="18" t="s">
        <v>440</v>
      </c>
      <c r="B8" s="34" t="s">
        <v>441</v>
      </c>
      <c r="C8" s="49"/>
      <c r="D8" s="49"/>
      <c r="E8" s="49"/>
      <c r="F8" s="49"/>
      <c r="G8" s="49"/>
      <c r="H8" s="49"/>
      <c r="I8" s="49"/>
      <c r="J8" s="49"/>
      <c r="K8" s="4"/>
      <c r="L8" s="4"/>
      <c r="M8" s="4"/>
      <c r="N8" s="4"/>
    </row>
    <row r="9" customFormat="false" ht="15" hidden="false" customHeight="true" outlineLevel="0" collapsed="false">
      <c r="A9" s="45"/>
      <c r="B9" s="49"/>
      <c r="C9" s="49"/>
      <c r="D9" s="49"/>
      <c r="E9" s="49"/>
      <c r="F9" s="49"/>
      <c r="G9" s="49"/>
      <c r="H9" s="49"/>
      <c r="I9" s="49"/>
      <c r="J9" s="49"/>
      <c r="K9" s="4"/>
      <c r="L9" s="4"/>
      <c r="M9" s="4"/>
      <c r="N9" s="4"/>
    </row>
    <row r="10" customFormat="false" ht="18.75" hidden="false" customHeight="true" outlineLevel="0" collapsed="false">
      <c r="A10" s="46" t="s">
        <v>442</v>
      </c>
      <c r="B10" s="46"/>
      <c r="C10" s="46"/>
      <c r="D10" s="46"/>
      <c r="E10" s="46"/>
      <c r="F10" s="46"/>
      <c r="G10" s="65"/>
      <c r="H10" s="65"/>
      <c r="I10" s="65"/>
      <c r="J10" s="65"/>
      <c r="K10" s="4"/>
      <c r="L10" s="4"/>
      <c r="M10" s="4"/>
      <c r="N10" s="4"/>
    </row>
    <row r="11" customFormat="false" ht="23.25" hidden="false" customHeight="true" outlineLevel="0" collapsed="false">
      <c r="A11" s="8" t="s">
        <v>443</v>
      </c>
      <c r="B11" s="17" t="s">
        <v>444</v>
      </c>
      <c r="C11" s="17" t="s">
        <v>445</v>
      </c>
      <c r="D11" s="17" t="s">
        <v>446</v>
      </c>
      <c r="E11" s="17" t="s">
        <v>447</v>
      </c>
      <c r="F11" s="9" t="s">
        <v>448</v>
      </c>
      <c r="G11" s="71"/>
      <c r="H11" s="67" t="s">
        <v>449</v>
      </c>
      <c r="I11" s="67" t="s">
        <v>450</v>
      </c>
      <c r="J11" s="67" t="s">
        <v>451</v>
      </c>
      <c r="K11" s="4"/>
      <c r="L11" s="4"/>
      <c r="M11" s="4"/>
      <c r="N11" s="4"/>
    </row>
    <row r="12" customFormat="false" ht="21.75" hidden="false" customHeight="true" outlineLevel="0" collapsed="false">
      <c r="A12" s="88" t="n">
        <f aca="false">Assumptions!$B$7</f>
        <v>0.152</v>
      </c>
      <c r="B12" s="39" t="n">
        <f aca="false">SUM(H12:J12)</f>
        <v>736.62267091016</v>
      </c>
      <c r="C12" s="39" t="n">
        <f aca="false">Assumptions!$B$18+(H12-Historicals!$D$18)+((-(Assumptions!$B$15*Assumptions!$B$16)-Assumptions!$B$37)-Forecast!$D$30)</f>
        <v>303.0746216</v>
      </c>
      <c r="D12" s="39" t="n">
        <f aca="false">C12+I12-(Assumptions!$B$15*Assumptions!$B$16)</f>
        <v>361.005989416</v>
      </c>
      <c r="E12" s="39" t="n">
        <f aca="false">D12+J12-(Assumptions!$B$15*Assumptions!$B$16)</f>
        <v>421.82267091016</v>
      </c>
      <c r="F12" s="33" t="str">
        <f aca="false">IF(MIN(C12:E12)&lt;$B$6,"Yes","No")</f>
        <v>No</v>
      </c>
      <c r="G12" s="49"/>
      <c r="H12" s="39" t="n">
        <f aca="false">(Historicals!$C$5*(1+Assumptions!$B$6)*$A12)*Assumptions!$B$13-Assumptions!$B$11-(Historicals!$C$5*(1+Assumptions!$B$6)*$A12)*Assumptions!$B$12-Assumptions!$B$14</f>
        <v>242.6746216</v>
      </c>
      <c r="I12" s="39" t="n">
        <f aca="false">(Historicals!$C$5*(1+Assumptions!$B$6)^2*$A12)*Assumptions!$B$13-Assumptions!$B$11-(Historicals!$C$5*(1+Assumptions!$B$6)^2*$A12)*Assumptions!$B$12-Assumptions!$B$14</f>
        <v>245.531367816</v>
      </c>
      <c r="J12" s="39" t="n">
        <f aca="false">(Historicals!$C$5*(1+Assumptions!$B$6)^3*$A12)*Assumptions!$B$13-Assumptions!$B$11-(Historicals!$C$5*(1+Assumptions!$B$6)^3*$A12)*Assumptions!$B$12-Assumptions!$B$14</f>
        <v>248.41668149416</v>
      </c>
      <c r="K12" s="4"/>
      <c r="L12" s="4"/>
      <c r="M12" s="4"/>
      <c r="N12" s="4"/>
    </row>
    <row r="13" customFormat="false" ht="21.75" hidden="false" customHeight="true" outlineLevel="0" collapsed="false">
      <c r="A13" s="89" t="n">
        <v>0.13</v>
      </c>
      <c r="B13" s="39" t="n">
        <f aca="false">SUM(H13:J13)</f>
        <v>611.3351790679</v>
      </c>
      <c r="C13" s="39" t="n">
        <f aca="false">Assumptions!$B$18+(H13-Historicals!$D$18)+((-(Assumptions!$B$15*Assumptions!$B$16)-Assumptions!$B$37)-Forecast!$D$30)</f>
        <v>261.726979</v>
      </c>
      <c r="D13" s="39" t="n">
        <f aca="false">C13+I13-(Assumptions!$B$15*Assumptions!$B$16)</f>
        <v>277.89722779</v>
      </c>
      <c r="E13" s="39" t="n">
        <f aca="false">D13+J13-(Assumptions!$B$15*Assumptions!$B$16)</f>
        <v>296.5351790679</v>
      </c>
      <c r="F13" s="33" t="str">
        <f aca="false">IF(MIN(C13:E13)&lt;$B$6,"Yes","No")</f>
        <v>No</v>
      </c>
      <c r="G13" s="49"/>
      <c r="H13" s="39" t="n">
        <f aca="false">(Historicals!$C$5*(1+Assumptions!$B$6)*$A13)*Assumptions!$B$13-Assumptions!$B$11-(Historicals!$C$5*(1+Assumptions!$B$6)*$A13)*Assumptions!$B$12-Assumptions!$B$14</f>
        <v>201.326979</v>
      </c>
      <c r="I13" s="39" t="n">
        <f aca="false">(Historicals!$C$5*(1+Assumptions!$B$6)^2*$A13)*Assumptions!$B$13-Assumptions!$B$11-(Historicals!$C$5*(1+Assumptions!$B$6)^2*$A13)*Assumptions!$B$12-Assumptions!$B$14</f>
        <v>203.77024879</v>
      </c>
      <c r="J13" s="39" t="n">
        <f aca="false">(Historicals!$C$5*(1+Assumptions!$B$6)^3*$A13)*Assumptions!$B$13-Assumptions!$B$11-(Historicals!$C$5*(1+Assumptions!$B$6)^3*$A13)*Assumptions!$B$12-Assumptions!$B$14</f>
        <v>206.2379512779</v>
      </c>
      <c r="K13" s="4"/>
      <c r="L13" s="4"/>
      <c r="M13" s="4"/>
      <c r="N13" s="4"/>
    </row>
    <row r="14" customFormat="false" ht="21.75" hidden="false" customHeight="true" outlineLevel="0" collapsed="false">
      <c r="A14" s="89" t="n">
        <v>0.11</v>
      </c>
      <c r="B14" s="39" t="n">
        <f aca="false">SUM(H14:J14)</f>
        <v>497.4374592113</v>
      </c>
      <c r="C14" s="39" t="n">
        <f aca="false">Assumptions!$B$18+(H14-Historicals!$D$18)+((-(Assumptions!$B$15*Assumptions!$B$16)-Assumptions!$B$37)-Forecast!$D$30)</f>
        <v>224.138213</v>
      </c>
      <c r="D14" s="39" t="n">
        <f aca="false">C14+I14-(Assumptions!$B$15*Assumptions!$B$16)</f>
        <v>202.34380813</v>
      </c>
      <c r="E14" s="39" t="n">
        <f aca="false">D14+J14-(Assumptions!$B$15*Assumptions!$B$16)</f>
        <v>182.6374592113</v>
      </c>
      <c r="F14" s="33" t="str">
        <f aca="false">IF(MIN(C14:E14)&lt;$B$6,"Yes","No")</f>
        <v>Yes</v>
      </c>
      <c r="G14" s="49"/>
      <c r="H14" s="39" t="n">
        <f aca="false">(Historicals!$C$5*(1+Assumptions!$B$6)*$A14)*Assumptions!$B$13-Assumptions!$B$11-(Historicals!$C$5*(1+Assumptions!$B$6)*$A14)*Assumptions!$B$12-Assumptions!$B$14</f>
        <v>163.738213</v>
      </c>
      <c r="I14" s="39" t="n">
        <f aca="false">(Historicals!$C$5*(1+Assumptions!$B$6)^2*$A14)*Assumptions!$B$13-Assumptions!$B$11-(Historicals!$C$5*(1+Assumptions!$B$6)^2*$A14)*Assumptions!$B$12-Assumptions!$B$14</f>
        <v>165.80559513</v>
      </c>
      <c r="J14" s="39" t="n">
        <f aca="false">(Historicals!$C$5*(1+Assumptions!$B$6)^3*$A14)*Assumptions!$B$13-Assumptions!$B$11-(Historicals!$C$5*(1+Assumptions!$B$6)^3*$A14)*Assumptions!$B$12-Assumptions!$B$14</f>
        <v>167.8936510813</v>
      </c>
      <c r="K14" s="4"/>
      <c r="L14" s="4"/>
      <c r="M14" s="4"/>
      <c r="N14" s="4"/>
    </row>
    <row r="15" customFormat="false" ht="21.75" hidden="false" customHeight="true" outlineLevel="0" collapsed="false">
      <c r="A15" s="89" t="n">
        <v>0.09</v>
      </c>
      <c r="B15" s="39" t="n">
        <f aca="false">SUM(H15:J15)</f>
        <v>383.5397393547</v>
      </c>
      <c r="C15" s="39" t="n">
        <f aca="false">Assumptions!$B$18+(H15-Historicals!$D$18)+((-(Assumptions!$B$15*Assumptions!$B$16)-Assumptions!$B$37)-Forecast!$D$30)</f>
        <v>186.549447</v>
      </c>
      <c r="D15" s="39" t="n">
        <f aca="false">C15+I15-(Assumptions!$B$15*Assumptions!$B$16)</f>
        <v>126.79038847</v>
      </c>
      <c r="E15" s="39" t="n">
        <f aca="false">D15+J15-(Assumptions!$B$15*Assumptions!$B$16)</f>
        <v>68.7397393547</v>
      </c>
      <c r="F15" s="33" t="str">
        <f aca="false">IF(MIN(C15:E15)&lt;$B$6,"Yes","No")</f>
        <v>Yes</v>
      </c>
      <c r="G15" s="49"/>
      <c r="H15" s="39" t="n">
        <f aca="false">(Historicals!$C$5*(1+Assumptions!$B$6)*$A15)*Assumptions!$B$13-Assumptions!$B$11-(Historicals!$C$5*(1+Assumptions!$B$6)*$A15)*Assumptions!$B$12-Assumptions!$B$14</f>
        <v>126.149447</v>
      </c>
      <c r="I15" s="39" t="n">
        <f aca="false">(Historicals!$C$5*(1+Assumptions!$B$6)^2*$A15)*Assumptions!$B$13-Assumptions!$B$11-(Historicals!$C$5*(1+Assumptions!$B$6)^2*$A15)*Assumptions!$B$12-Assumptions!$B$14</f>
        <v>127.84094147</v>
      </c>
      <c r="J15" s="39" t="n">
        <f aca="false">(Historicals!$C$5*(1+Assumptions!$B$6)^3*$A15)*Assumptions!$B$13-Assumptions!$B$11-(Historicals!$C$5*(1+Assumptions!$B$6)^3*$A15)*Assumptions!$B$12-Assumptions!$B$14</f>
        <v>129.5493508847</v>
      </c>
      <c r="K15" s="4"/>
      <c r="L15" s="4"/>
      <c r="M15" s="4"/>
      <c r="N15" s="4"/>
    </row>
    <row r="16" customFormat="false" ht="21.75" hidden="false" customHeight="true" outlineLevel="0" collapsed="false">
      <c r="A16" s="89" t="n">
        <v>0.07</v>
      </c>
      <c r="B16" s="39" t="n">
        <f aca="false">SUM(H16:J16)</f>
        <v>269.6420194981</v>
      </c>
      <c r="C16" s="39" t="n">
        <f aca="false">Assumptions!$B$18+(H16-Historicals!$D$18)+((-(Assumptions!$B$15*Assumptions!$B$16)-Assumptions!$B$37)-Forecast!$D$30)</f>
        <v>148.960681</v>
      </c>
      <c r="D16" s="39" t="n">
        <f aca="false">C16+I16-(Assumptions!$B$15*Assumptions!$B$16)</f>
        <v>51.23696881</v>
      </c>
      <c r="E16" s="39" t="n">
        <f aca="false">D16+J16-(Assumptions!$B$15*Assumptions!$B$16)</f>
        <v>-45.1579805018999</v>
      </c>
      <c r="F16" s="33" t="str">
        <f aca="false">IF(MIN(C16:E16)&lt;$B$6,"Yes","No")</f>
        <v>Yes</v>
      </c>
      <c r="G16" s="49"/>
      <c r="H16" s="39" t="n">
        <f aca="false">(Historicals!$C$5*(1+Assumptions!$B$6)*$A16)*Assumptions!$B$13-Assumptions!$B$11-(Historicals!$C$5*(1+Assumptions!$B$6)*$A16)*Assumptions!$B$12-Assumptions!$B$14</f>
        <v>88.560681</v>
      </c>
      <c r="I16" s="39" t="n">
        <f aca="false">(Historicals!$C$5*(1+Assumptions!$B$6)^2*$A16)*Assumptions!$B$13-Assumptions!$B$11-(Historicals!$C$5*(1+Assumptions!$B$6)^2*$A16)*Assumptions!$B$12-Assumptions!$B$14</f>
        <v>89.87628781</v>
      </c>
      <c r="J16" s="39" t="n">
        <f aca="false">(Historicals!$C$5*(1+Assumptions!$B$6)^3*$A16)*Assumptions!$B$13-Assumptions!$B$11-(Historicals!$C$5*(1+Assumptions!$B$6)^3*$A16)*Assumptions!$B$12-Assumptions!$B$14</f>
        <v>91.2050506881</v>
      </c>
      <c r="K16" s="4"/>
      <c r="L16" s="4"/>
      <c r="M16" s="4"/>
      <c r="N16" s="4"/>
    </row>
    <row r="17" customFormat="false" ht="23.25" hidden="false" customHeight="true" outlineLevel="0" collapsed="false">
      <c r="A17" s="18" t="s">
        <v>452</v>
      </c>
      <c r="B17" s="74" t="n">
        <f aca="false">ROUND(E12-Forecast!H36,1)</f>
        <v>0</v>
      </c>
      <c r="C17" s="49"/>
      <c r="D17" s="49"/>
      <c r="E17" s="49"/>
      <c r="F17" s="49"/>
      <c r="G17" s="49"/>
      <c r="H17" s="49"/>
      <c r="I17" s="49"/>
      <c r="J17" s="49"/>
      <c r="K17" s="4"/>
      <c r="L17" s="4"/>
      <c r="M17" s="4"/>
      <c r="N17" s="4"/>
    </row>
    <row r="18" customFormat="false" ht="18.75" hidden="false" customHeight="true" outlineLevel="0" collapsed="false">
      <c r="A18" s="46" t="s">
        <v>453</v>
      </c>
      <c r="B18" s="46"/>
      <c r="C18" s="46"/>
      <c r="D18" s="46"/>
      <c r="E18" s="46"/>
      <c r="F18" s="46"/>
      <c r="G18" s="65"/>
      <c r="H18" s="65"/>
      <c r="I18" s="65"/>
      <c r="J18" s="65"/>
      <c r="K18" s="4"/>
      <c r="L18" s="4"/>
      <c r="M18" s="4"/>
      <c r="N18" s="4"/>
    </row>
    <row r="19" customFormat="false" ht="23.25" hidden="false" customHeight="true" outlineLevel="0" collapsed="false">
      <c r="A19" s="8" t="s">
        <v>454</v>
      </c>
      <c r="B19" s="90" t="n">
        <f aca="false">A13+($B$6-E13)*(A14-A13)/(E14-E13)</f>
        <v>0.121828602165787</v>
      </c>
      <c r="C19" s="49"/>
      <c r="D19" s="49"/>
      <c r="E19" s="49"/>
      <c r="F19" s="49"/>
      <c r="G19" s="49"/>
      <c r="H19" s="49"/>
      <c r="I19" s="49"/>
      <c r="J19" s="49"/>
      <c r="K19" s="4"/>
      <c r="L19" s="4"/>
      <c r="M19" s="4"/>
      <c r="N19" s="4"/>
    </row>
    <row r="20" customFormat="false" ht="124.5" hidden="false" customHeight="true" outlineLevel="0" collapsed="false">
      <c r="A20" s="58" t="s">
        <v>455</v>
      </c>
      <c r="B20" s="91" t="s">
        <v>456</v>
      </c>
      <c r="C20" s="49"/>
      <c r="D20" s="49"/>
      <c r="E20" s="49"/>
      <c r="F20" s="49"/>
      <c r="G20" s="49"/>
      <c r="H20" s="49"/>
      <c r="I20" s="49"/>
      <c r="J20" s="49"/>
      <c r="K20" s="4"/>
      <c r="L20" s="4"/>
      <c r="M20" s="4"/>
      <c r="N20" s="4"/>
    </row>
    <row r="21" customFormat="false" ht="15" hidden="false" customHeight="true" outlineLevel="0" collapsed="false">
      <c r="A21" s="45"/>
      <c r="B21" s="49"/>
      <c r="C21" s="49"/>
      <c r="D21" s="49"/>
      <c r="E21" s="49"/>
      <c r="F21" s="49"/>
      <c r="G21" s="49"/>
      <c r="H21" s="49"/>
      <c r="I21" s="49"/>
      <c r="J21" s="49"/>
      <c r="K21" s="4"/>
      <c r="L21" s="4"/>
      <c r="M21" s="4"/>
      <c r="N21" s="4"/>
    </row>
    <row r="22" customFormat="false" ht="15" hidden="false" customHeight="true" outlineLevel="0" collapsed="false">
      <c r="A22" s="45"/>
      <c r="B22" s="49"/>
      <c r="C22" s="49"/>
      <c r="D22" s="49"/>
      <c r="E22" s="49"/>
      <c r="F22" s="49"/>
      <c r="G22" s="49"/>
      <c r="H22" s="49"/>
      <c r="I22" s="49"/>
      <c r="J22" s="49"/>
      <c r="K22" s="4"/>
      <c r="L22" s="4"/>
      <c r="M22" s="4"/>
      <c r="N22" s="4"/>
    </row>
    <row r="23" customFormat="false" ht="15" hidden="false" customHeight="true" outlineLevel="0" collapsed="false">
      <c r="A23" s="45"/>
      <c r="B23" s="49"/>
      <c r="C23" s="49"/>
      <c r="D23" s="49"/>
      <c r="E23" s="49"/>
      <c r="F23" s="49"/>
      <c r="G23" s="49"/>
      <c r="H23" s="49"/>
      <c r="I23" s="49"/>
      <c r="J23" s="49"/>
      <c r="K23" s="4"/>
      <c r="L23" s="4"/>
      <c r="M23" s="4"/>
      <c r="N23" s="4"/>
    </row>
    <row r="24" customFormat="false" ht="15" hidden="false" customHeight="true" outlineLevel="0" collapsed="false">
      <c r="A24" s="45"/>
      <c r="B24" s="49"/>
      <c r="C24" s="49"/>
      <c r="D24" s="49"/>
      <c r="E24" s="49"/>
      <c r="F24" s="49"/>
      <c r="G24" s="49"/>
      <c r="H24" s="49"/>
      <c r="I24" s="49"/>
      <c r="J24" s="49"/>
      <c r="K24" s="4"/>
      <c r="L24" s="4"/>
      <c r="M24" s="4"/>
      <c r="N24" s="4"/>
    </row>
    <row r="25" customFormat="false" ht="15" hidden="false" customHeight="true" outlineLevel="0" collapsed="false">
      <c r="A25" s="45"/>
      <c r="B25" s="49"/>
      <c r="C25" s="49"/>
      <c r="D25" s="49"/>
      <c r="E25" s="49"/>
      <c r="F25" s="49"/>
      <c r="G25" s="49"/>
      <c r="H25" s="49"/>
      <c r="I25" s="49"/>
      <c r="J25" s="49"/>
      <c r="K25" s="4"/>
      <c r="L25" s="4"/>
      <c r="M25" s="4"/>
      <c r="N25" s="4"/>
    </row>
    <row r="26" customFormat="false" ht="15" hidden="false" customHeight="true" outlineLevel="0" collapsed="false">
      <c r="A26" s="6"/>
      <c r="B26" s="3"/>
      <c r="C26" s="3"/>
      <c r="D26" s="3"/>
      <c r="E26" s="3"/>
      <c r="F26" s="3"/>
      <c r="G26" s="3"/>
      <c r="H26" s="3"/>
      <c r="I26" s="3"/>
      <c r="J26" s="3"/>
      <c r="K26" s="4"/>
      <c r="L26" s="4"/>
      <c r="M26" s="4"/>
      <c r="N26" s="4"/>
    </row>
    <row r="27" customFormat="false" ht="15" hidden="false" customHeight="true" outlineLevel="0" collapsed="false">
      <c r="A27" s="6"/>
      <c r="B27" s="3"/>
      <c r="C27" s="3"/>
      <c r="D27" s="3"/>
      <c r="E27" s="3"/>
      <c r="F27" s="3"/>
      <c r="G27" s="3"/>
      <c r="H27" s="3"/>
      <c r="I27" s="3"/>
      <c r="J27" s="3"/>
      <c r="K27" s="4"/>
      <c r="L27" s="4"/>
      <c r="M27" s="4"/>
      <c r="N27" s="4"/>
    </row>
    <row r="28" customFormat="false" ht="15" hidden="false" customHeight="true" outlineLevel="0" collapsed="false">
      <c r="A28" s="6"/>
      <c r="B28" s="3"/>
      <c r="C28" s="3"/>
      <c r="D28" s="3"/>
      <c r="E28" s="3"/>
      <c r="F28" s="3"/>
      <c r="G28" s="3"/>
      <c r="H28" s="3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6"/>
      <c r="B29" s="3"/>
      <c r="C29" s="3"/>
      <c r="D29" s="3"/>
      <c r="E29" s="3"/>
      <c r="F29" s="3"/>
      <c r="G29" s="3"/>
      <c r="H29" s="3"/>
      <c r="I29" s="3"/>
      <c r="J29" s="3"/>
      <c r="K29" s="4"/>
      <c r="L29" s="4"/>
      <c r="M29" s="4"/>
      <c r="N29" s="4"/>
    </row>
    <row r="30" customFormat="false" ht="15" hidden="false" customHeight="true" outlineLevel="0" collapsed="false">
      <c r="A30" s="6"/>
      <c r="B30" s="3"/>
      <c r="C30" s="3"/>
      <c r="D30" s="3"/>
      <c r="E30" s="3"/>
      <c r="F30" s="3"/>
      <c r="G30" s="3"/>
      <c r="H30" s="3"/>
      <c r="I30" s="3"/>
      <c r="J30" s="3"/>
      <c r="K30" s="4"/>
      <c r="L30" s="4"/>
      <c r="M30" s="4"/>
      <c r="N30" s="4"/>
    </row>
    <row r="31" customFormat="false" ht="15" hidden="false" customHeight="true" outlineLevel="0" collapsed="false">
      <c r="A31" s="6"/>
      <c r="B31" s="3"/>
      <c r="C31" s="3"/>
      <c r="D31" s="3"/>
      <c r="E31" s="3"/>
      <c r="F31" s="3"/>
      <c r="G31" s="3"/>
      <c r="H31" s="3"/>
      <c r="I31" s="3"/>
      <c r="J31" s="3"/>
      <c r="K31" s="4"/>
      <c r="L31" s="4"/>
      <c r="M31" s="4"/>
      <c r="N31" s="4"/>
    </row>
    <row r="32" customFormat="false" ht="15" hidden="false" customHeight="true" outlineLevel="0" collapsed="false">
      <c r="A32" s="6"/>
      <c r="B32" s="3"/>
      <c r="C32" s="3"/>
      <c r="D32" s="3"/>
      <c r="E32" s="3"/>
      <c r="F32" s="3"/>
      <c r="G32" s="3"/>
      <c r="H32" s="3"/>
      <c r="I32" s="3"/>
      <c r="J32" s="3"/>
      <c r="K32" s="4"/>
      <c r="L32" s="4"/>
      <c r="M32" s="4"/>
      <c r="N32" s="4"/>
    </row>
    <row r="33" customFormat="false" ht="15" hidden="false" customHeight="true" outlineLevel="0" collapsed="false">
      <c r="A33" s="6"/>
      <c r="B33" s="3"/>
      <c r="C33" s="3"/>
      <c r="D33" s="3"/>
      <c r="E33" s="3"/>
      <c r="F33" s="3"/>
      <c r="G33" s="3"/>
      <c r="H33" s="3"/>
      <c r="I33" s="3"/>
      <c r="J33" s="3"/>
      <c r="K33" s="4"/>
      <c r="L33" s="4"/>
      <c r="M33" s="4"/>
      <c r="N33" s="4"/>
    </row>
    <row r="34" customFormat="false" ht="15" hidden="false" customHeight="true" outlineLevel="0" collapsed="false">
      <c r="A34" s="6"/>
      <c r="B34" s="3"/>
      <c r="C34" s="3"/>
      <c r="D34" s="3"/>
      <c r="E34" s="3"/>
      <c r="F34" s="3"/>
      <c r="G34" s="3"/>
      <c r="H34" s="3"/>
      <c r="I34" s="3"/>
      <c r="J34" s="3"/>
      <c r="K34" s="4"/>
      <c r="L34" s="4"/>
      <c r="M34" s="4"/>
      <c r="N34" s="4"/>
    </row>
    <row r="35" customFormat="false" ht="15" hidden="false" customHeight="true" outlineLevel="0" collapsed="false">
      <c r="A35" s="6"/>
      <c r="B35" s="3"/>
      <c r="C35" s="3"/>
      <c r="D35" s="3"/>
      <c r="E35" s="3"/>
      <c r="F35" s="3"/>
      <c r="G35" s="3"/>
      <c r="H35" s="3"/>
      <c r="I35" s="3"/>
      <c r="J35" s="3"/>
      <c r="K35" s="4"/>
      <c r="L35" s="4"/>
      <c r="M35" s="4"/>
      <c r="N35" s="4"/>
    </row>
    <row r="36" customFormat="false" ht="15" hidden="false" customHeight="true" outlineLevel="0" collapsed="false">
      <c r="A36" s="6"/>
      <c r="B36" s="3"/>
      <c r="C36" s="3"/>
      <c r="D36" s="3"/>
      <c r="E36" s="3"/>
      <c r="F36" s="3"/>
      <c r="G36" s="3"/>
      <c r="H36" s="3"/>
      <c r="I36" s="3"/>
      <c r="J36" s="3"/>
      <c r="K36" s="4"/>
      <c r="L36" s="4"/>
      <c r="M36" s="4"/>
      <c r="N36" s="4"/>
    </row>
    <row r="37" customFormat="false" ht="15" hidden="false" customHeight="true" outlineLevel="0" collapsed="false">
      <c r="A37" s="6"/>
      <c r="B37" s="3"/>
      <c r="C37" s="3"/>
      <c r="D37" s="3"/>
      <c r="E37" s="3"/>
      <c r="F37" s="3"/>
      <c r="G37" s="3"/>
      <c r="H37" s="3"/>
      <c r="I37" s="3"/>
      <c r="J37" s="3"/>
      <c r="K37" s="4"/>
      <c r="L37" s="4"/>
      <c r="M37" s="4"/>
      <c r="N37" s="4"/>
    </row>
    <row r="38" customFormat="false" ht="15" hidden="false" customHeight="true" outlineLevel="0" collapsed="false">
      <c r="A38" s="6"/>
      <c r="B38" s="3"/>
      <c r="C38" s="3"/>
      <c r="D38" s="3"/>
      <c r="E38" s="3"/>
      <c r="F38" s="3"/>
      <c r="G38" s="3"/>
      <c r="H38" s="3"/>
      <c r="I38" s="3"/>
      <c r="J38" s="3"/>
      <c r="K38" s="4"/>
      <c r="L38" s="4"/>
      <c r="M38" s="4"/>
      <c r="N38" s="4"/>
    </row>
    <row r="39" customFormat="false" ht="15" hidden="false" customHeight="true" outlineLevel="0" collapsed="false">
      <c r="A39" s="6"/>
      <c r="B39" s="3"/>
      <c r="C39" s="3"/>
      <c r="D39" s="3"/>
      <c r="E39" s="3"/>
      <c r="F39" s="3"/>
      <c r="G39" s="3"/>
      <c r="H39" s="3"/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6"/>
      <c r="B40" s="3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6"/>
      <c r="B41" s="3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4"/>
    </row>
    <row r="42" customFormat="false" ht="15" hidden="false" customHeight="true" outlineLevel="0" collapsed="false">
      <c r="A42" s="6"/>
      <c r="B42" s="3"/>
      <c r="C42" s="3"/>
      <c r="D42" s="3"/>
      <c r="E42" s="3"/>
      <c r="F42" s="3"/>
      <c r="G42" s="3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6"/>
      <c r="B43" s="3"/>
      <c r="C43" s="3"/>
      <c r="D43" s="3"/>
      <c r="E43" s="3"/>
      <c r="F43" s="3"/>
      <c r="G43" s="3"/>
      <c r="H43" s="3"/>
      <c r="I43" s="3"/>
      <c r="J43" s="3"/>
      <c r="K43" s="4"/>
      <c r="L43" s="4"/>
      <c r="M43" s="4"/>
      <c r="N43" s="4"/>
    </row>
    <row r="44" customFormat="false" ht="15" hidden="false" customHeight="true" outlineLevel="0" collapsed="false">
      <c r="A44" s="6"/>
      <c r="B44" s="3"/>
      <c r="C44" s="3"/>
      <c r="D44" s="3"/>
      <c r="E44" s="3"/>
      <c r="F44" s="3"/>
      <c r="G44" s="3"/>
      <c r="H44" s="3"/>
      <c r="I44" s="3"/>
      <c r="J44" s="3"/>
      <c r="K44" s="4"/>
      <c r="L44" s="4"/>
      <c r="M44" s="4"/>
      <c r="N44" s="4"/>
    </row>
    <row r="45" customFormat="false" ht="15" hidden="false" customHeight="true" outlineLevel="0" collapsed="false">
      <c r="A45" s="6"/>
      <c r="B45" s="3"/>
      <c r="C45" s="3"/>
      <c r="D45" s="3"/>
      <c r="E45" s="3"/>
      <c r="F45" s="3"/>
      <c r="G45" s="3"/>
      <c r="H45" s="3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mergeCells count="5">
    <mergeCell ref="A1:F1"/>
    <mergeCell ref="A2:F2"/>
    <mergeCell ref="A4:F4"/>
    <mergeCell ref="A10:F10"/>
    <mergeCell ref="A18:F18"/>
  </mergeCells>
  <conditionalFormatting sqref="F12:F16">
    <cfRule type="expression" priority="2" aboveAverage="0" equalAverage="0" bottom="0" percent="0" rank="0" text="" dxfId="0">
      <formula>F12="Yes"</formula>
    </cfRule>
    <cfRule type="expression" priority="3" aboveAverage="0" equalAverage="0" bottom="0" percent="0" rank="0" text="" dxfId="1">
      <formula>F12="No"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8" min="2" style="1" width="18"/>
    <col collapsed="false" customWidth="true" hidden="false" outlineLevel="0" max="9" min="9" style="1" width="20"/>
    <col collapsed="false" customWidth="true" hidden="false" outlineLevel="0" max="10" min="10" style="1" width="36"/>
  </cols>
  <sheetData>
    <row r="1" customFormat="false" ht="24" hidden="false" customHeight="true" outlineLevel="0" collapsed="false">
      <c r="A1" s="58" t="s">
        <v>457</v>
      </c>
      <c r="B1" s="92" t="s">
        <v>458</v>
      </c>
      <c r="C1" s="92" t="s">
        <v>459</v>
      </c>
      <c r="D1" s="92" t="s">
        <v>460</v>
      </c>
      <c r="E1" s="67" t="s">
        <v>461</v>
      </c>
      <c r="F1" s="67" t="s">
        <v>462</v>
      </c>
      <c r="G1" s="67" t="s">
        <v>463</v>
      </c>
      <c r="H1" s="3"/>
      <c r="I1" s="3"/>
      <c r="J1" s="3"/>
      <c r="K1" s="4"/>
      <c r="L1" s="4"/>
      <c r="M1" s="4"/>
      <c r="N1" s="4"/>
    </row>
    <row r="2" customFormat="false" ht="30" hidden="false" customHeight="true" outlineLevel="0" collapsed="false">
      <c r="A2" s="18" t="s">
        <v>169</v>
      </c>
      <c r="B2" s="93" t="n">
        <f aca="false">Historicals!B22</f>
        <v>431</v>
      </c>
      <c r="C2" s="93" t="n">
        <f aca="false">Historicals!B22</f>
        <v>431</v>
      </c>
      <c r="D2" s="93" t="n">
        <f aca="false">Historicals!B22</f>
        <v>431</v>
      </c>
      <c r="E2" s="94" t="n">
        <f aca="false">Historicals!B25</f>
        <v>0.6</v>
      </c>
      <c r="F2" s="94" t="n">
        <f aca="false">Historicals!B19</f>
        <v>427</v>
      </c>
      <c r="G2" s="94" t="n">
        <f aca="false">Assumptions!$B$32</f>
        <v>3.5</v>
      </c>
      <c r="H2" s="3"/>
      <c r="I2" s="3"/>
      <c r="J2" s="3"/>
      <c r="K2" s="4"/>
      <c r="L2" s="4"/>
      <c r="M2" s="4"/>
      <c r="N2" s="4"/>
    </row>
    <row r="3" customFormat="false" ht="15" hidden="false" customHeight="true" outlineLevel="0" collapsed="false">
      <c r="A3" s="18" t="s">
        <v>170</v>
      </c>
      <c r="B3" s="94" t="n">
        <f aca="false">Historicals!C22</f>
        <v>566</v>
      </c>
      <c r="C3" s="94" t="n">
        <f aca="false">Historicals!C22</f>
        <v>566</v>
      </c>
      <c r="D3" s="94" t="n">
        <f aca="false">Historicals!C22</f>
        <v>566</v>
      </c>
      <c r="E3" s="94" t="n">
        <f aca="false">Historicals!C25</f>
        <v>0.9</v>
      </c>
      <c r="F3" s="94" t="n">
        <f aca="false">Historicals!C19</f>
        <v>302</v>
      </c>
      <c r="G3" s="94" t="n">
        <f aca="false">Assumptions!$B$32</f>
        <v>3.5</v>
      </c>
      <c r="H3" s="3"/>
      <c r="I3" s="3"/>
      <c r="J3" s="3"/>
      <c r="K3" s="4"/>
      <c r="L3" s="4"/>
      <c r="M3" s="4"/>
      <c r="N3" s="4"/>
    </row>
    <row r="4" customFormat="false" ht="15" hidden="false" customHeight="true" outlineLevel="0" collapsed="false">
      <c r="A4" s="8" t="s">
        <v>138</v>
      </c>
      <c r="B4" s="95" t="n">
        <f aca="false">Historicals!D22</f>
        <v>652</v>
      </c>
      <c r="C4" s="95" t="n">
        <f aca="false">Historicals!D22</f>
        <v>652</v>
      </c>
      <c r="D4" s="96" t="n">
        <f aca="false">Historicals!D22</f>
        <v>652</v>
      </c>
      <c r="E4" s="95" t="n">
        <f aca="false">Historicals!D25</f>
        <v>1</v>
      </c>
      <c r="F4" s="96" t="n">
        <f aca="false">Historicals!D19</f>
        <v>264</v>
      </c>
      <c r="G4" s="94" t="n">
        <f aca="false">Assumptions!$B$32</f>
        <v>3.5</v>
      </c>
      <c r="H4" s="3"/>
      <c r="I4" s="3"/>
      <c r="J4" s="3"/>
      <c r="K4" s="4"/>
      <c r="L4" s="4"/>
      <c r="M4" s="4"/>
      <c r="N4" s="4"/>
    </row>
    <row r="5" customFormat="false" ht="15" hidden="false" customHeight="true" outlineLevel="0" collapsed="false">
      <c r="A5" s="97" t="s">
        <v>464</v>
      </c>
      <c r="B5" s="94" t="n">
        <f aca="false">Forecast!F35</f>
        <v>612.9253784</v>
      </c>
      <c r="C5" s="94" t="n">
        <f aca="false">Scenarios!C35</f>
        <v>715.2941708</v>
      </c>
      <c r="D5" s="94" t="n">
        <f aca="false">Scenarios!D35</f>
        <v>557.1085688</v>
      </c>
      <c r="E5" s="94" t="n">
        <f aca="false">Forecast!F39</f>
        <v>0.95350635262853</v>
      </c>
      <c r="F5" s="94" t="n">
        <f aca="false">Forecast!F36</f>
        <v>303.0746216</v>
      </c>
      <c r="G5" s="94" t="n">
        <f aca="false">Assumptions!$B$32</f>
        <v>3.5</v>
      </c>
      <c r="H5" s="3"/>
      <c r="I5" s="3"/>
      <c r="J5" s="3"/>
      <c r="K5" s="4"/>
      <c r="L5" s="4"/>
      <c r="M5" s="4"/>
      <c r="N5" s="4"/>
    </row>
    <row r="6" customFormat="false" ht="15" hidden="false" customHeight="true" outlineLevel="0" collapsed="false">
      <c r="A6" s="97" t="s">
        <v>173</v>
      </c>
      <c r="B6" s="94" t="n">
        <f aca="false">Forecast!G35</f>
        <v>554.994010584</v>
      </c>
      <c r="C6" s="94" t="n">
        <f aca="false">Scenarios!C46</f>
        <v>674.587516476</v>
      </c>
      <c r="D6" s="94" t="n">
        <f aca="false">Scenarios!D46</f>
        <v>439.487308976</v>
      </c>
      <c r="E6" s="94" t="n">
        <f aca="false">Forecast!G39</f>
        <v>0.842152215930726</v>
      </c>
      <c r="F6" s="94" t="n">
        <f aca="false">Forecast!G36</f>
        <v>361.005989416</v>
      </c>
      <c r="G6" s="94" t="n">
        <f aca="false">Assumptions!$B$32</f>
        <v>3.5</v>
      </c>
      <c r="H6" s="3"/>
      <c r="I6" s="3"/>
      <c r="J6" s="3"/>
      <c r="K6" s="4"/>
      <c r="L6" s="4"/>
      <c r="M6" s="4"/>
      <c r="N6" s="4"/>
    </row>
    <row r="7" customFormat="false" ht="15" hidden="false" customHeight="true" outlineLevel="0" collapsed="false">
      <c r="A7" s="97" t="s">
        <v>174</v>
      </c>
      <c r="B7" s="94" t="n">
        <f aca="false">Forecast!H35</f>
        <v>494.17732908984</v>
      </c>
      <c r="C7" s="94" t="n">
        <f aca="false">Scenarios!C57</f>
        <v>639.50606178172</v>
      </c>
      <c r="D7" s="94" t="n">
        <f aca="false">Scenarios!D57</f>
        <v>315.00162395552</v>
      </c>
      <c r="E7" s="94" t="n">
        <f aca="false">Forecast!H39</f>
        <v>0.727782762204573</v>
      </c>
      <c r="F7" s="94" t="n">
        <f aca="false">Forecast!H36</f>
        <v>421.82267091016</v>
      </c>
      <c r="G7" s="94" t="n">
        <f aca="false">Assumptions!$B$32</f>
        <v>3.5</v>
      </c>
      <c r="H7" s="3"/>
      <c r="I7" s="3"/>
      <c r="J7" s="3"/>
      <c r="K7" s="4"/>
      <c r="L7" s="4"/>
      <c r="M7" s="4"/>
      <c r="N7" s="4"/>
    </row>
    <row r="8" customFormat="false" ht="15" hidden="false" customHeight="true" outlineLevel="0" collapsed="false">
      <c r="A8" s="98"/>
      <c r="B8" s="99"/>
      <c r="C8" s="44"/>
      <c r="D8" s="44"/>
      <c r="E8" s="100"/>
      <c r="F8" s="99"/>
      <c r="G8" s="3"/>
      <c r="H8" s="3"/>
      <c r="I8" s="3"/>
      <c r="J8" s="3"/>
      <c r="K8" s="4"/>
      <c r="L8" s="4"/>
      <c r="M8" s="4"/>
      <c r="N8" s="4"/>
    </row>
    <row r="9" customFormat="false" ht="15" hidden="false" customHeight="true" outlineLevel="0" collapsed="false">
      <c r="A9" s="98"/>
      <c r="B9" s="99"/>
      <c r="C9" s="44"/>
      <c r="D9" s="44"/>
      <c r="E9" s="100"/>
      <c r="F9" s="99"/>
      <c r="G9" s="3"/>
      <c r="H9" s="3"/>
      <c r="I9" s="3"/>
      <c r="J9" s="3"/>
      <c r="K9" s="4"/>
      <c r="L9" s="4"/>
      <c r="M9" s="4"/>
      <c r="N9" s="4"/>
    </row>
    <row r="10" customFormat="false" ht="15" hidden="false" customHeight="true" outlineLevel="0" collapsed="false">
      <c r="A10" s="6"/>
      <c r="B10" s="99"/>
      <c r="C10" s="44"/>
      <c r="D10" s="44"/>
      <c r="E10" s="100"/>
      <c r="F10" s="99"/>
      <c r="G10" s="3"/>
      <c r="H10" s="3"/>
      <c r="I10" s="3"/>
      <c r="J10" s="3"/>
      <c r="K10" s="4"/>
      <c r="L10" s="4"/>
      <c r="M10" s="4"/>
      <c r="N10" s="4"/>
    </row>
    <row r="11" customFormat="false" ht="15" hidden="false" customHeight="true" outlineLevel="0" collapsed="false">
      <c r="A11" s="6"/>
      <c r="B11" s="3"/>
      <c r="C11" s="3"/>
      <c r="D11" s="3"/>
      <c r="E11" s="3"/>
      <c r="F11" s="3"/>
      <c r="G11" s="3"/>
      <c r="H11" s="3"/>
      <c r="I11" s="3"/>
      <c r="J11" s="3"/>
      <c r="K11" s="4"/>
      <c r="L11" s="4"/>
      <c r="M11" s="4"/>
      <c r="N11" s="4"/>
    </row>
    <row r="12" customFormat="false" ht="15" hidden="false" customHeight="true" outlineLevel="0" collapsed="false">
      <c r="A12" s="6"/>
      <c r="B12" s="3"/>
      <c r="C12" s="3"/>
      <c r="D12" s="3"/>
      <c r="E12" s="3"/>
      <c r="F12" s="3"/>
      <c r="G12" s="3"/>
      <c r="H12" s="3"/>
      <c r="I12" s="3"/>
      <c r="J12" s="3"/>
      <c r="K12" s="4"/>
      <c r="L12" s="4"/>
      <c r="M12" s="4"/>
      <c r="N12" s="4"/>
    </row>
    <row r="13" customFormat="false" ht="15" hidden="false" customHeight="true" outlineLevel="0" collapsed="false">
      <c r="A13" s="6"/>
      <c r="B13" s="3"/>
      <c r="C13" s="3"/>
      <c r="D13" s="3"/>
      <c r="E13" s="3"/>
      <c r="F13" s="3"/>
      <c r="G13" s="3"/>
      <c r="H13" s="3"/>
      <c r="I13" s="3"/>
      <c r="J13" s="3"/>
      <c r="K13" s="4"/>
      <c r="L13" s="4"/>
      <c r="M13" s="4"/>
      <c r="N13" s="4"/>
    </row>
    <row r="14" customFormat="false" ht="15" hidden="false" customHeight="true" outlineLevel="0" collapsed="false">
      <c r="A14" s="6"/>
      <c r="B14" s="3"/>
      <c r="C14" s="3"/>
      <c r="D14" s="3"/>
      <c r="E14" s="3"/>
      <c r="F14" s="3"/>
      <c r="G14" s="3"/>
      <c r="H14" s="3"/>
      <c r="I14" s="3"/>
      <c r="J14" s="3"/>
      <c r="K14" s="4"/>
      <c r="L14" s="4"/>
      <c r="M14" s="4"/>
      <c r="N14" s="4"/>
    </row>
    <row r="15" customFormat="false" ht="15" hidden="false" customHeight="true" outlineLevel="0" collapsed="false">
      <c r="A15" s="6"/>
      <c r="B15" s="3"/>
      <c r="C15" s="3"/>
      <c r="D15" s="3"/>
      <c r="E15" s="3"/>
      <c r="F15" s="3"/>
      <c r="G15" s="3"/>
      <c r="H15" s="3"/>
      <c r="I15" s="3"/>
      <c r="J15" s="3"/>
      <c r="K15" s="4"/>
      <c r="L15" s="4"/>
      <c r="M15" s="4"/>
      <c r="N15" s="4"/>
    </row>
    <row r="16" customFormat="false" ht="15" hidden="false" customHeight="true" outlineLevel="0" collapsed="false">
      <c r="A16" s="6"/>
      <c r="B16" s="3"/>
      <c r="C16" s="3"/>
      <c r="D16" s="3"/>
      <c r="E16" s="3"/>
      <c r="F16" s="3"/>
      <c r="G16" s="3"/>
      <c r="H16" s="3"/>
      <c r="I16" s="3"/>
      <c r="J16" s="3"/>
      <c r="K16" s="4"/>
      <c r="L16" s="4"/>
      <c r="M16" s="4"/>
      <c r="N16" s="4"/>
    </row>
    <row r="17" customFormat="false" ht="15" hidden="false" customHeight="true" outlineLevel="0" collapsed="false">
      <c r="A17" s="6"/>
      <c r="B17" s="3"/>
      <c r="C17" s="3"/>
      <c r="D17" s="3"/>
      <c r="E17" s="3"/>
      <c r="F17" s="3"/>
      <c r="G17" s="3"/>
      <c r="H17" s="3"/>
      <c r="I17" s="3"/>
      <c r="J17" s="3"/>
      <c r="K17" s="4"/>
      <c r="L17" s="4"/>
      <c r="M17" s="4"/>
      <c r="N17" s="4"/>
    </row>
    <row r="18" customFormat="false" ht="15" hidden="false" customHeight="true" outlineLevel="0" collapsed="false">
      <c r="A18" s="6"/>
      <c r="B18" s="3"/>
      <c r="C18" s="3"/>
      <c r="D18" s="3"/>
      <c r="E18" s="3"/>
      <c r="F18" s="3"/>
      <c r="G18" s="3"/>
      <c r="H18" s="3"/>
      <c r="I18" s="3"/>
      <c r="J18" s="3"/>
      <c r="K18" s="4"/>
      <c r="L18" s="4"/>
      <c r="M18" s="4"/>
      <c r="N18" s="4"/>
    </row>
    <row r="19" customFormat="false" ht="15" hidden="false" customHeight="true" outlineLevel="0" collapsed="false">
      <c r="A19" s="6"/>
      <c r="B19" s="3"/>
      <c r="C19" s="3"/>
      <c r="D19" s="3"/>
      <c r="E19" s="3"/>
      <c r="F19" s="3"/>
      <c r="G19" s="3"/>
      <c r="H19" s="3"/>
      <c r="I19" s="3"/>
      <c r="J19" s="3"/>
      <c r="K19" s="4"/>
      <c r="L19" s="4"/>
      <c r="M19" s="4"/>
      <c r="N19" s="4"/>
    </row>
    <row r="20" customFormat="false" ht="15" hidden="false" customHeight="true" outlineLevel="0" collapsed="false">
      <c r="A20" s="6"/>
      <c r="B20" s="3"/>
      <c r="C20" s="3"/>
      <c r="D20" s="3"/>
      <c r="E20" s="3"/>
      <c r="F20" s="3"/>
      <c r="G20" s="3"/>
      <c r="H20" s="3"/>
      <c r="I20" s="3"/>
      <c r="J20" s="3"/>
      <c r="K20" s="4"/>
      <c r="L20" s="4"/>
      <c r="M20" s="4"/>
      <c r="N20" s="4"/>
    </row>
    <row r="21" customFormat="false" ht="15" hidden="false" customHeight="true" outlineLevel="0" collapsed="false">
      <c r="A21" s="6"/>
      <c r="B21" s="3"/>
      <c r="C21" s="3"/>
      <c r="D21" s="3"/>
      <c r="E21" s="3"/>
      <c r="F21" s="3"/>
      <c r="G21" s="3"/>
      <c r="H21" s="3"/>
      <c r="I21" s="3"/>
      <c r="J21" s="3"/>
      <c r="K21" s="4"/>
      <c r="L21" s="4"/>
      <c r="M21" s="4"/>
      <c r="N21" s="4"/>
    </row>
    <row r="22" customFormat="false" ht="15" hidden="false" customHeight="true" outlineLevel="0" collapsed="false">
      <c r="A22" s="6"/>
      <c r="B22" s="3"/>
      <c r="C22" s="3"/>
      <c r="D22" s="3"/>
      <c r="E22" s="3"/>
      <c r="F22" s="3"/>
      <c r="G22" s="3"/>
      <c r="H22" s="3"/>
      <c r="I22" s="3"/>
      <c r="J22" s="3"/>
      <c r="K22" s="4"/>
      <c r="L22" s="4"/>
      <c r="M22" s="4"/>
      <c r="N22" s="4"/>
    </row>
    <row r="23" customFormat="false" ht="15" hidden="false" customHeight="true" outlineLevel="0" collapsed="false">
      <c r="A23" s="6"/>
      <c r="B23" s="3"/>
      <c r="C23" s="3"/>
      <c r="D23" s="3"/>
      <c r="E23" s="3"/>
      <c r="F23" s="3"/>
      <c r="G23" s="3"/>
      <c r="H23" s="3"/>
      <c r="I23" s="3"/>
      <c r="J23" s="3"/>
      <c r="K23" s="4"/>
      <c r="L23" s="4"/>
      <c r="M23" s="4"/>
      <c r="N23" s="4"/>
    </row>
    <row r="24" customFormat="false" ht="15" hidden="false" customHeight="true" outlineLevel="0" collapsed="false">
      <c r="A24" s="6"/>
      <c r="B24" s="3"/>
      <c r="C24" s="3"/>
      <c r="D24" s="3"/>
      <c r="E24" s="3"/>
      <c r="F24" s="3"/>
      <c r="G24" s="3"/>
      <c r="H24" s="3"/>
      <c r="I24" s="3"/>
      <c r="J24" s="3"/>
      <c r="K24" s="4"/>
      <c r="L24" s="4"/>
      <c r="M24" s="4"/>
      <c r="N24" s="4"/>
    </row>
    <row r="25" customFormat="false" ht="15" hidden="false" customHeight="true" outlineLevel="0" collapsed="false">
      <c r="A25" s="6"/>
      <c r="B25" s="3"/>
      <c r="C25" s="3"/>
      <c r="D25" s="3"/>
      <c r="E25" s="3"/>
      <c r="F25" s="3"/>
      <c r="G25" s="3"/>
      <c r="H25" s="3"/>
      <c r="I25" s="3"/>
      <c r="J25" s="3"/>
      <c r="K25" s="4"/>
      <c r="L25" s="4"/>
      <c r="M25" s="4"/>
      <c r="N25" s="4"/>
    </row>
    <row r="26" customFormat="false" ht="15" hidden="false" customHeight="true" outlineLevel="0" collapsed="false">
      <c r="A26" s="6"/>
      <c r="B26" s="3"/>
      <c r="C26" s="3"/>
      <c r="D26" s="3"/>
      <c r="E26" s="3"/>
      <c r="F26" s="3"/>
      <c r="G26" s="3"/>
      <c r="H26" s="3"/>
      <c r="I26" s="3"/>
      <c r="J26" s="3"/>
      <c r="K26" s="4"/>
      <c r="L26" s="4"/>
      <c r="M26" s="4"/>
      <c r="N26" s="4"/>
    </row>
    <row r="27" customFormat="false" ht="15" hidden="false" customHeight="true" outlineLevel="0" collapsed="false">
      <c r="A27" s="6"/>
      <c r="B27" s="3"/>
      <c r="C27" s="3"/>
      <c r="D27" s="3"/>
      <c r="E27" s="3"/>
      <c r="F27" s="3"/>
      <c r="G27" s="3"/>
      <c r="H27" s="3"/>
      <c r="I27" s="3"/>
      <c r="J27" s="3"/>
      <c r="K27" s="4"/>
      <c r="L27" s="4"/>
      <c r="M27" s="4"/>
      <c r="N27" s="4"/>
    </row>
    <row r="28" customFormat="false" ht="15" hidden="false" customHeight="true" outlineLevel="0" collapsed="false">
      <c r="A28" s="6"/>
      <c r="B28" s="3"/>
      <c r="C28" s="3"/>
      <c r="D28" s="3"/>
      <c r="E28" s="3"/>
      <c r="F28" s="3"/>
      <c r="G28" s="3"/>
      <c r="H28" s="3"/>
      <c r="I28" s="3"/>
      <c r="J28" s="3"/>
      <c r="K28" s="4"/>
      <c r="L28" s="4"/>
      <c r="M28" s="4"/>
      <c r="N28" s="4"/>
    </row>
    <row r="29" customFormat="false" ht="15" hidden="false" customHeight="true" outlineLevel="0" collapsed="false">
      <c r="A29" s="6"/>
      <c r="B29" s="3"/>
      <c r="C29" s="3"/>
      <c r="D29" s="3"/>
      <c r="E29" s="3"/>
      <c r="F29" s="3"/>
      <c r="G29" s="3"/>
      <c r="H29" s="3"/>
      <c r="I29" s="3"/>
      <c r="J29" s="3"/>
      <c r="K29" s="4"/>
      <c r="L29" s="4"/>
      <c r="M29" s="4"/>
      <c r="N29" s="4"/>
    </row>
    <row r="30" customFormat="false" ht="15" hidden="false" customHeight="true" outlineLevel="0" collapsed="false">
      <c r="A30" s="6"/>
      <c r="B30" s="3"/>
      <c r="C30" s="3"/>
      <c r="D30" s="3"/>
      <c r="E30" s="3"/>
      <c r="F30" s="3"/>
      <c r="G30" s="3"/>
      <c r="H30" s="3"/>
      <c r="I30" s="3"/>
      <c r="J30" s="3"/>
      <c r="K30" s="4"/>
      <c r="L30" s="4"/>
      <c r="M30" s="4"/>
      <c r="N30" s="4"/>
    </row>
    <row r="31" customFormat="false" ht="15" hidden="false" customHeight="true" outlineLevel="0" collapsed="false">
      <c r="A31" s="6"/>
      <c r="B31" s="3"/>
      <c r="C31" s="3"/>
      <c r="D31" s="3"/>
      <c r="E31" s="3"/>
      <c r="F31" s="3"/>
      <c r="G31" s="3"/>
      <c r="H31" s="3"/>
      <c r="I31" s="3"/>
      <c r="J31" s="3"/>
      <c r="K31" s="4"/>
      <c r="L31" s="4"/>
      <c r="M31" s="4"/>
      <c r="N31" s="4"/>
    </row>
    <row r="32" customFormat="false" ht="15" hidden="false" customHeight="true" outlineLevel="0" collapsed="false">
      <c r="A32" s="6"/>
      <c r="B32" s="3"/>
      <c r="C32" s="3"/>
      <c r="D32" s="3"/>
      <c r="E32" s="3"/>
      <c r="F32" s="3"/>
      <c r="G32" s="3"/>
      <c r="H32" s="3"/>
      <c r="I32" s="3"/>
      <c r="J32" s="3"/>
      <c r="K32" s="4"/>
      <c r="L32" s="4"/>
      <c r="M32" s="4"/>
      <c r="N32" s="4"/>
    </row>
    <row r="33" customFormat="false" ht="15" hidden="false" customHeight="true" outlineLevel="0" collapsed="false">
      <c r="A33" s="6"/>
      <c r="B33" s="3"/>
      <c r="C33" s="3"/>
      <c r="D33" s="3"/>
      <c r="E33" s="3"/>
      <c r="F33" s="3"/>
      <c r="G33" s="3"/>
      <c r="H33" s="3"/>
      <c r="I33" s="3"/>
      <c r="J33" s="3"/>
      <c r="K33" s="4"/>
      <c r="L33" s="4"/>
      <c r="M33" s="4"/>
      <c r="N33" s="4"/>
    </row>
    <row r="34" customFormat="false" ht="15" hidden="false" customHeight="true" outlineLevel="0" collapsed="false">
      <c r="A34" s="6"/>
      <c r="B34" s="3"/>
      <c r="C34" s="3"/>
      <c r="D34" s="3"/>
      <c r="E34" s="3"/>
      <c r="F34" s="3"/>
      <c r="G34" s="3"/>
      <c r="H34" s="3"/>
      <c r="I34" s="3"/>
      <c r="J34" s="3"/>
      <c r="K34" s="4"/>
      <c r="L34" s="4"/>
      <c r="M34" s="4"/>
      <c r="N34" s="4"/>
    </row>
    <row r="35" customFormat="false" ht="15" hidden="false" customHeight="true" outlineLevel="0" collapsed="false">
      <c r="A35" s="6"/>
      <c r="B35" s="3"/>
      <c r="C35" s="3"/>
      <c r="D35" s="3"/>
      <c r="E35" s="3"/>
      <c r="F35" s="3"/>
      <c r="G35" s="3"/>
      <c r="H35" s="3"/>
      <c r="I35" s="3"/>
      <c r="J35" s="3"/>
      <c r="K35" s="4"/>
      <c r="L35" s="4"/>
      <c r="M35" s="4"/>
      <c r="N35" s="4"/>
    </row>
    <row r="36" customFormat="false" ht="15" hidden="false" customHeight="true" outlineLevel="0" collapsed="false">
      <c r="A36" s="6"/>
      <c r="B36" s="3"/>
      <c r="C36" s="3"/>
      <c r="D36" s="3"/>
      <c r="E36" s="3"/>
      <c r="F36" s="3"/>
      <c r="G36" s="3"/>
      <c r="H36" s="3"/>
      <c r="I36" s="3"/>
      <c r="J36" s="3"/>
      <c r="K36" s="4"/>
      <c r="L36" s="4"/>
      <c r="M36" s="4"/>
      <c r="N36" s="4"/>
    </row>
    <row r="37" customFormat="false" ht="15" hidden="false" customHeight="true" outlineLevel="0" collapsed="false">
      <c r="A37" s="6"/>
      <c r="B37" s="3"/>
      <c r="C37" s="3"/>
      <c r="D37" s="3"/>
      <c r="E37" s="3"/>
      <c r="F37" s="3"/>
      <c r="G37" s="3"/>
      <c r="H37" s="3"/>
      <c r="I37" s="3"/>
      <c r="J37" s="3"/>
      <c r="K37" s="4"/>
      <c r="L37" s="4"/>
      <c r="M37" s="4"/>
      <c r="N37" s="4"/>
    </row>
    <row r="38" customFormat="false" ht="15" hidden="false" customHeight="true" outlineLevel="0" collapsed="false">
      <c r="A38" s="6"/>
      <c r="B38" s="3"/>
      <c r="C38" s="3"/>
      <c r="D38" s="3"/>
      <c r="E38" s="3"/>
      <c r="F38" s="3"/>
      <c r="G38" s="3"/>
      <c r="H38" s="3"/>
      <c r="I38" s="3"/>
      <c r="J38" s="3"/>
      <c r="K38" s="4"/>
      <c r="L38" s="4"/>
      <c r="M38" s="4"/>
      <c r="N38" s="4"/>
    </row>
    <row r="39" customFormat="false" ht="15" hidden="false" customHeight="true" outlineLevel="0" collapsed="false">
      <c r="A39" s="6"/>
      <c r="B39" s="3"/>
      <c r="C39" s="3"/>
      <c r="D39" s="3"/>
      <c r="E39" s="3"/>
      <c r="F39" s="3"/>
      <c r="G39" s="3"/>
      <c r="H39" s="3"/>
      <c r="I39" s="3"/>
      <c r="J39" s="3"/>
      <c r="K39" s="4"/>
      <c r="L39" s="4"/>
      <c r="M39" s="4"/>
      <c r="N39" s="4"/>
    </row>
    <row r="40" customFormat="false" ht="15" hidden="false" customHeight="true" outlineLevel="0" collapsed="false">
      <c r="A40" s="6"/>
      <c r="B40" s="3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4"/>
    </row>
    <row r="41" customFormat="false" ht="15" hidden="false" customHeight="true" outlineLevel="0" collapsed="false">
      <c r="A41" s="6"/>
      <c r="B41" s="3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4"/>
    </row>
    <row r="42" customFormat="false" ht="15" hidden="false" customHeight="true" outlineLevel="0" collapsed="false">
      <c r="A42" s="6"/>
      <c r="B42" s="3"/>
      <c r="C42" s="3"/>
      <c r="D42" s="3"/>
      <c r="E42" s="3"/>
      <c r="F42" s="3"/>
      <c r="G42" s="3"/>
      <c r="H42" s="3"/>
      <c r="I42" s="3"/>
      <c r="J42" s="3"/>
      <c r="K42" s="4"/>
      <c r="L42" s="4"/>
      <c r="M42" s="4"/>
      <c r="N42" s="4"/>
    </row>
    <row r="43" customFormat="false" ht="15" hidden="false" customHeight="true" outlineLevel="0" collapsed="false">
      <c r="A43" s="6"/>
      <c r="B43" s="3"/>
      <c r="C43" s="3"/>
      <c r="D43" s="3"/>
      <c r="E43" s="3"/>
      <c r="F43" s="3"/>
      <c r="G43" s="3"/>
      <c r="H43" s="3"/>
      <c r="I43" s="3"/>
      <c r="J43" s="3"/>
      <c r="K43" s="4"/>
      <c r="L43" s="4"/>
      <c r="M43" s="4"/>
      <c r="N43" s="4"/>
    </row>
    <row r="44" customFormat="false" ht="15" hidden="false" customHeight="true" outlineLevel="0" collapsed="false">
      <c r="A44" s="6"/>
      <c r="B44" s="3"/>
      <c r="C44" s="3"/>
      <c r="D44" s="3"/>
      <c r="E44" s="3"/>
      <c r="F44" s="3"/>
      <c r="G44" s="3"/>
      <c r="H44" s="3"/>
      <c r="I44" s="3"/>
      <c r="J44" s="3"/>
      <c r="K44" s="4"/>
      <c r="L44" s="4"/>
      <c r="M44" s="4"/>
      <c r="N44" s="4"/>
    </row>
    <row r="45" customFormat="false" ht="15" hidden="false" customHeight="true" outlineLevel="0" collapsed="false">
      <c r="A45" s="6"/>
      <c r="B45" s="3"/>
      <c r="C45" s="3"/>
      <c r="D45" s="3"/>
      <c r="E45" s="3"/>
      <c r="F45" s="3"/>
      <c r="G45" s="3"/>
      <c r="H45" s="3"/>
      <c r="I45" s="3"/>
      <c r="J45" s="3"/>
      <c r="K45" s="4"/>
      <c r="L45" s="4"/>
      <c r="M45" s="4"/>
      <c r="N45" s="4"/>
    </row>
    <row r="46" customFormat="false" ht="15" hidden="false" customHeight="true" outlineLevel="0" collapsed="false">
      <c r="A46" s="6"/>
      <c r="B46" s="3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4"/>
    </row>
    <row r="47" customFormat="false" ht="15" hidden="false" customHeight="true" outlineLevel="0" collapsed="false">
      <c r="A47" s="6"/>
      <c r="B47" s="3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4"/>
    </row>
    <row r="48" customFormat="false" ht="15" hidden="false" customHeight="true" outlineLevel="0" collapsed="false">
      <c r="A48" s="6"/>
      <c r="B48" s="3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4"/>
    </row>
    <row r="49" customFormat="false" ht="15" hidden="false" customHeight="true" outlineLevel="0" collapsed="false">
      <c r="A49" s="6"/>
      <c r="B49" s="3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4"/>
    </row>
    <row r="50" customFormat="false" ht="15" hidden="false" customHeight="true" outlineLevel="0" collapsed="false">
      <c r="A50" s="6"/>
      <c r="B50" s="3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4"/>
    </row>
    <row r="51" customFormat="false" ht="15" hidden="false" customHeight="true" outlineLevel="0" collapsed="false">
      <c r="A51" s="6"/>
      <c r="B51" s="3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4"/>
    </row>
    <row r="52" customFormat="false" ht="15" hidden="false" customHeight="true" outlineLevel="0" collapsed="false">
      <c r="A52" s="6"/>
      <c r="B52" s="3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4"/>
    </row>
    <row r="53" customFormat="false" ht="15" hidden="false" customHeight="true" outlineLevel="0" collapsed="false">
      <c r="A53" s="6"/>
      <c r="B53" s="3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4"/>
    </row>
    <row r="54" customFormat="false" ht="15" hidden="false" customHeight="true" outlineLevel="0" collapsed="false">
      <c r="A54" s="6"/>
      <c r="B54" s="3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4"/>
    </row>
    <row r="55" customFormat="false" ht="15" hidden="false" customHeight="true" outlineLevel="0" collapsed="false">
      <c r="A55" s="6"/>
      <c r="B55" s="3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4"/>
    </row>
    <row r="56" customFormat="false" ht="15" hidden="false" customHeight="true" outlineLevel="0" collapsed="false">
      <c r="A56" s="6"/>
      <c r="B56" s="3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4"/>
    </row>
    <row r="57" customFormat="false" ht="15" hidden="false" customHeight="true" outlineLevel="0" collapsed="false">
      <c r="A57" s="6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</row>
    <row r="58" customFormat="false" ht="15" hidden="false" customHeight="true" outlineLevel="0" collapsed="false">
      <c r="A58" s="6"/>
      <c r="B58" s="3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4"/>
    </row>
    <row r="59" customFormat="false" ht="15" hidden="false" customHeight="true" outlineLevel="0" collapsed="false">
      <c r="A59" s="6"/>
      <c r="B59" s="3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4"/>
    </row>
    <row r="60" customFormat="false" ht="15" hidden="false" customHeight="true" outlineLevel="0" collapsed="false">
      <c r="A60" s="6"/>
      <c r="B60" s="3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4"/>
    </row>
    <row r="61" customFormat="false" ht="15" hidden="false" customHeight="true" outlineLevel="0" collapsed="false">
      <c r="A61" s="6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</row>
    <row r="62" customFormat="false" ht="15" hidden="false" customHeight="true" outlineLevel="0" collapsed="false">
      <c r="A62" s="6"/>
      <c r="B62" s="3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4"/>
    </row>
    <row r="63" customFormat="false" ht="15" hidden="false" customHeight="true" outlineLevel="0" collapsed="false">
      <c r="A63" s="6"/>
      <c r="B63" s="3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4"/>
    </row>
    <row r="64" customFormat="false" ht="15" hidden="false" customHeight="true" outlineLevel="0" collapsed="false">
      <c r="A64" s="6"/>
      <c r="B64" s="3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4"/>
    </row>
    <row r="65" customFormat="false" ht="15" hidden="false" customHeight="true" outlineLevel="0" collapsed="false">
      <c r="A65" s="6"/>
      <c r="B65" s="3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4"/>
    </row>
    <row r="66" customFormat="false" ht="15" hidden="false" customHeight="true" outlineLevel="0" collapsed="false">
      <c r="A66" s="6"/>
      <c r="B66" s="3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4"/>
    </row>
    <row r="67" customFormat="false" ht="15" hidden="false" customHeight="true" outlineLevel="0" collapsed="false">
      <c r="A67" s="6"/>
      <c r="B67" s="3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4"/>
    </row>
    <row r="68" customFormat="false" ht="15" hidden="false" customHeight="true" outlineLevel="0" collapsed="false">
      <c r="A68" s="6"/>
      <c r="B68" s="3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4"/>
    </row>
    <row r="69" customFormat="false" ht="15" hidden="false" customHeight="true" outlineLevel="0" collapsed="false">
      <c r="A69" s="6"/>
      <c r="B69" s="3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4"/>
    </row>
    <row r="70" customFormat="false" ht="15" hidden="false" customHeight="true" outlineLevel="0" collapsed="false">
      <c r="A70" s="6"/>
      <c r="B70" s="3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4"/>
    </row>
    <row r="71" customFormat="false" ht="15" hidden="false" customHeight="true" outlineLevel="0" collapsed="false">
      <c r="A71" s="6"/>
      <c r="B71" s="3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4"/>
    </row>
    <row r="72" customFormat="false" ht="15" hidden="false" customHeight="true" outlineLevel="0" collapsed="false">
      <c r="A72" s="6"/>
      <c r="B72" s="3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4"/>
    </row>
    <row r="73" customFormat="false" ht="15" hidden="false" customHeight="true" outlineLevel="0" collapsed="false">
      <c r="A73" s="6"/>
      <c r="B73" s="3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4"/>
    </row>
    <row r="74" customFormat="false" ht="15" hidden="false" customHeight="true" outlineLevel="0" collapsed="false">
      <c r="A74" s="6"/>
      <c r="B74" s="3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4"/>
    </row>
    <row r="75" customFormat="false" ht="15" hidden="false" customHeight="true" outlineLevel="0" collapsed="false">
      <c r="A75" s="6"/>
      <c r="B75" s="3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4"/>
    </row>
    <row r="76" customFormat="false" ht="15" hidden="false" customHeight="true" outlineLevel="0" collapsed="false">
      <c r="A76" s="6"/>
      <c r="B76" s="3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4"/>
    </row>
    <row r="77" customFormat="false" ht="15" hidden="false" customHeight="true" outlineLevel="0" collapsed="false">
      <c r="A77" s="6"/>
      <c r="B77" s="3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4"/>
    </row>
    <row r="78" customFormat="false" ht="15" hidden="false" customHeight="true" outlineLevel="0" collapsed="false">
      <c r="A78" s="6"/>
      <c r="B78" s="3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4"/>
    </row>
    <row r="79" customFormat="false" ht="15" hidden="false" customHeight="true" outlineLevel="0" collapsed="false">
      <c r="A79" s="6"/>
      <c r="B79" s="3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4"/>
    </row>
    <row r="80" customFormat="false" ht="15" hidden="false" customHeight="true" outlineLevel="0" collapsed="false">
      <c r="A80" s="6"/>
      <c r="B80" s="3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4"/>
    </row>
    <row r="81" customFormat="false" ht="15" hidden="false" customHeight="true" outlineLevel="0" collapsed="false">
      <c r="A81" s="6"/>
      <c r="B81" s="3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4"/>
    </row>
    <row r="82" customFormat="false" ht="15" hidden="false" customHeight="true" outlineLevel="0" collapsed="false">
      <c r="A82" s="6"/>
      <c r="B82" s="3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4"/>
    </row>
    <row r="83" customFormat="false" ht="15" hidden="false" customHeight="true" outlineLevel="0" collapsed="false">
      <c r="A83" s="6"/>
      <c r="B83" s="3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4"/>
    </row>
    <row r="84" customFormat="false" ht="15" hidden="false" customHeight="true" outlineLevel="0" collapsed="false">
      <c r="A84" s="6"/>
      <c r="B84" s="3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4"/>
    </row>
    <row r="85" customFormat="false" ht="15" hidden="false" customHeight="true" outlineLevel="0" collapsed="false">
      <c r="A85" s="6"/>
      <c r="B85" s="3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4"/>
    </row>
    <row r="86" customFormat="false" ht="15" hidden="false" customHeight="true" outlineLevel="0" collapsed="false">
      <c r="A86" s="6"/>
      <c r="B86" s="3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4"/>
    </row>
    <row r="87" customFormat="false" ht="15" hidden="false" customHeight="true" outlineLevel="0" collapsed="false">
      <c r="A87" s="6"/>
      <c r="B87" s="3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4"/>
    </row>
    <row r="88" customFormat="false" ht="15" hidden="false" customHeight="true" outlineLevel="0" collapsed="false">
      <c r="A88" s="6"/>
      <c r="B88" s="3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4"/>
    </row>
    <row r="89" customFormat="false" ht="15" hidden="false" customHeight="true" outlineLevel="0" collapsed="false">
      <c r="A89" s="6"/>
      <c r="B89" s="3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4"/>
    </row>
    <row r="90" customFormat="false" ht="15" hidden="false" customHeight="true" outlineLevel="0" collapsed="false">
      <c r="A90" s="6"/>
      <c r="B90" s="3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4"/>
    </row>
    <row r="91" customFormat="false" ht="15" hidden="false" customHeight="true" outlineLevel="0" collapsed="false">
      <c r="A91" s="6"/>
      <c r="B91" s="3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4"/>
    </row>
    <row r="92" customFormat="false" ht="15" hidden="false" customHeight="true" outlineLevel="0" collapsed="false">
      <c r="A92" s="6"/>
      <c r="B92" s="3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4"/>
    </row>
    <row r="93" customFormat="false" ht="15" hidden="false" customHeight="true" outlineLevel="0" collapsed="false">
      <c r="A93" s="6"/>
      <c r="B93" s="3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4"/>
    </row>
    <row r="94" customFormat="false" ht="15" hidden="false" customHeight="true" outlineLevel="0" collapsed="false">
      <c r="A94" s="6"/>
      <c r="B94" s="3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4"/>
    </row>
    <row r="95" customFormat="false" ht="15" hidden="false" customHeight="true" outlineLevel="0" collapsed="false">
      <c r="A95" s="6"/>
      <c r="B95" s="3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4"/>
    </row>
    <row r="96" customFormat="false" ht="15" hidden="false" customHeight="true" outlineLevel="0" collapsed="false">
      <c r="A96" s="6"/>
      <c r="B96" s="3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4"/>
    </row>
    <row r="97" customFormat="false" ht="15" hidden="false" customHeight="true" outlineLevel="0" collapsed="false">
      <c r="A97" s="6"/>
      <c r="B97" s="3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4"/>
    </row>
    <row r="98" customFormat="false" ht="15" hidden="false" customHeight="true" outlineLevel="0" collapsed="false">
      <c r="A98" s="6"/>
      <c r="B98" s="3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4"/>
    </row>
    <row r="99" customFormat="false" ht="15" hidden="false" customHeight="true" outlineLevel="0" collapsed="false">
      <c r="A99" s="6"/>
      <c r="B99" s="3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4"/>
    </row>
    <row r="100" customFormat="false" ht="15" hidden="false" customHeight="true" outlineLevel="0" collapsed="false">
      <c r="A100" s="6"/>
      <c r="B100" s="3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4"/>
    </row>
    <row r="101" customFormat="false" ht="15" hidden="false" customHeight="true" outlineLevel="0" collapsed="false">
      <c r="A101" s="6"/>
      <c r="B101" s="3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4"/>
    </row>
    <row r="102" customFormat="false" ht="15" hidden="false" customHeight="true" outlineLevel="0" collapsed="false">
      <c r="A102" s="6"/>
      <c r="B102" s="3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4"/>
    </row>
    <row r="103" customFormat="false" ht="15" hidden="false" customHeight="true" outlineLevel="0" collapsed="false">
      <c r="A103" s="6"/>
      <c r="B103" s="3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4"/>
    </row>
    <row r="104" customFormat="false" ht="15" hidden="false" customHeight="true" outlineLevel="0" collapsed="false">
      <c r="A104" s="6"/>
      <c r="B104" s="3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4"/>
    </row>
    <row r="105" customFormat="false" ht="15" hidden="false" customHeight="true" outlineLevel="0" collapsed="false">
      <c r="A105" s="6"/>
      <c r="B105" s="3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4"/>
    </row>
    <row r="106" customFormat="false" ht="15" hidden="false" customHeight="true" outlineLevel="0" collapsed="false">
      <c r="A106" s="6"/>
      <c r="B106" s="3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4"/>
    </row>
    <row r="107" customFormat="false" ht="15" hidden="false" customHeight="true" outlineLevel="0" collapsed="false">
      <c r="A107" s="6"/>
      <c r="B107" s="3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4"/>
    </row>
    <row r="108" customFormat="false" ht="15" hidden="false" customHeight="true" outlineLevel="0" collapsed="false">
      <c r="A108" s="6"/>
      <c r="B108" s="3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4"/>
    </row>
    <row r="109" customFormat="false" ht="15" hidden="false" customHeight="true" outlineLevel="0" collapsed="false">
      <c r="A109" s="6"/>
      <c r="B109" s="3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4"/>
    </row>
    <row r="110" customFormat="false" ht="15" hidden="false" customHeight="true" outlineLevel="0" collapsed="false">
      <c r="A110" s="6"/>
      <c r="B110" s="3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4"/>
    </row>
    <row r="111" customFormat="false" ht="15" hidden="false" customHeight="true" outlineLevel="0" collapsed="false">
      <c r="A111" s="6"/>
      <c r="B111" s="3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4"/>
    </row>
    <row r="112" customFormat="false" ht="15" hidden="false" customHeight="true" outlineLevel="0" collapsed="false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4"/>
    </row>
    <row r="113" customFormat="false" ht="15" hidden="false" customHeight="true" outlineLevel="0" collapsed="false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4"/>
    </row>
    <row r="114" customFormat="false" ht="15" hidden="false" customHeight="true" outlineLevel="0" collapsed="false">
      <c r="A114" s="6"/>
      <c r="B114" s="3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4"/>
    </row>
    <row r="115" customFormat="false" ht="15" hidden="false" customHeight="true" outlineLevel="0" collapsed="false">
      <c r="A115" s="6"/>
      <c r="B115" s="3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4"/>
    </row>
    <row r="116" customFormat="false" ht="15" hidden="false" customHeight="true" outlineLevel="0" collapsed="false">
      <c r="A116" s="6"/>
      <c r="B116" s="3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4"/>
    </row>
    <row r="117" customFormat="false" ht="15" hidden="false" customHeight="true" outlineLevel="0" collapsed="false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4"/>
    </row>
    <row r="118" customFormat="false" ht="15" hidden="false" customHeight="true" outlineLevel="0" collapsed="false">
      <c r="A118" s="6"/>
      <c r="B118" s="3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4"/>
    </row>
    <row r="119" customFormat="false" ht="15" hidden="false" customHeight="true" outlineLevel="0" collapsed="false">
      <c r="A119" s="6"/>
      <c r="B119" s="3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4"/>
    </row>
    <row r="120" customFormat="false" ht="15" hidden="false" customHeight="true" outlineLevel="0" collapsed="false">
      <c r="A120" s="6"/>
      <c r="B120" s="3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4"/>
    </row>
    <row r="121" customFormat="false" ht="15" hidden="false" customHeight="true" outlineLevel="0" collapsed="false">
      <c r="A121" s="6"/>
      <c r="B121" s="3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4"/>
    </row>
    <row r="122" customFormat="false" ht="15" hidden="false" customHeight="true" outlineLevel="0" collapsed="false">
      <c r="A122" s="6"/>
      <c r="B122" s="3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4"/>
    </row>
    <row r="123" customFormat="false" ht="15" hidden="false" customHeight="true" outlineLevel="0" collapsed="false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4"/>
    </row>
    <row r="124" customFormat="false" ht="15" hidden="false" customHeight="true" outlineLevel="0" collapsed="false">
      <c r="A124" s="6"/>
      <c r="B124" s="3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4"/>
    </row>
    <row r="125" customFormat="false" ht="15" hidden="false" customHeight="true" outlineLevel="0" collapsed="false">
      <c r="A125" s="6"/>
      <c r="B125" s="3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4"/>
    </row>
    <row r="126" customFormat="false" ht="15" hidden="false" customHeight="true" outlineLevel="0" collapsed="false">
      <c r="A126" s="6"/>
      <c r="B126" s="3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4"/>
    </row>
    <row r="127" customFormat="false" ht="15" hidden="false" customHeight="true" outlineLevel="0" collapsed="false">
      <c r="A127" s="6"/>
      <c r="B127" s="3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4"/>
    </row>
    <row r="128" customFormat="false" ht="15" hidden="false" customHeight="true" outlineLevel="0" collapsed="false">
      <c r="A128" s="6"/>
      <c r="B128" s="3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4"/>
    </row>
    <row r="129" customFormat="false" ht="15" hidden="false" customHeight="true" outlineLevel="0" collapsed="false">
      <c r="A129" s="6"/>
      <c r="B129" s="3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4"/>
    </row>
    <row r="130" customFormat="false" ht="15" hidden="false" customHeight="true" outlineLevel="0" collapsed="false">
      <c r="A130" s="6"/>
      <c r="B130" s="3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4"/>
    </row>
    <row r="131" customFormat="false" ht="15" hidden="false" customHeight="true" outlineLevel="0" collapsed="false">
      <c r="A131" s="6"/>
      <c r="B131" s="3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4"/>
    </row>
    <row r="132" customFormat="false" ht="15" hidden="false" customHeight="true" outlineLevel="0" collapsed="false">
      <c r="A132" s="6"/>
      <c r="B132" s="3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4"/>
    </row>
    <row r="133" customFormat="false" ht="15" hidden="false" customHeight="true" outlineLevel="0" collapsed="false">
      <c r="A133" s="6"/>
      <c r="B133" s="3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4"/>
    </row>
    <row r="134" customFormat="false" ht="15" hidden="false" customHeight="true" outlineLevel="0" collapsed="false">
      <c r="A134" s="6"/>
      <c r="B134" s="3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4"/>
    </row>
    <row r="135" customFormat="false" ht="15" hidden="false" customHeight="true" outlineLevel="0" collapsed="false">
      <c r="A135" s="6"/>
      <c r="B135" s="3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4"/>
    </row>
    <row r="136" customFormat="false" ht="15" hidden="false" customHeight="true" outlineLevel="0" collapsed="false">
      <c r="A136" s="6"/>
      <c r="B136" s="3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4"/>
    </row>
    <row r="137" customFormat="false" ht="15" hidden="false" customHeight="true" outlineLevel="0" collapsed="false">
      <c r="A137" s="6"/>
      <c r="B137" s="3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4"/>
    </row>
    <row r="138" customFormat="false" ht="15" hidden="false" customHeight="true" outlineLevel="0" collapsed="false">
      <c r="A138" s="6"/>
      <c r="B138" s="3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4"/>
    </row>
    <row r="139" customFormat="false" ht="15" hidden="false" customHeight="true" outlineLevel="0" collapsed="false">
      <c r="A139" s="6"/>
      <c r="B139" s="3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4"/>
    </row>
    <row r="140" customFormat="false" ht="15" hidden="false" customHeight="true" outlineLevel="0" collapsed="false">
      <c r="A140" s="6"/>
      <c r="B140" s="3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4"/>
    </row>
    <row r="141" customFormat="false" ht="15" hidden="false" customHeight="true" outlineLevel="0" collapsed="false">
      <c r="A141" s="6"/>
      <c r="B141" s="3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4"/>
    </row>
    <row r="142" customFormat="false" ht="15" hidden="false" customHeight="true" outlineLevel="0" collapsed="false">
      <c r="A142" s="6"/>
      <c r="B142" s="3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4"/>
    </row>
    <row r="143" customFormat="false" ht="15" hidden="false" customHeight="true" outlineLevel="0" collapsed="false">
      <c r="A143" s="6"/>
      <c r="B143" s="3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4"/>
    </row>
    <row r="144" customFormat="false" ht="15" hidden="false" customHeight="true" outlineLevel="0" collapsed="false">
      <c r="A144" s="6"/>
      <c r="B144" s="3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4"/>
    </row>
    <row r="145" customFormat="false" ht="15" hidden="false" customHeight="true" outlineLevel="0" collapsed="false">
      <c r="A145" s="6"/>
      <c r="B145" s="3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4"/>
    </row>
    <row r="146" customFormat="false" ht="15" hidden="false" customHeight="true" outlineLevel="0" collapsed="false">
      <c r="A146" s="6"/>
      <c r="B146" s="3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4"/>
    </row>
    <row r="147" customFormat="false" ht="15" hidden="false" customHeight="true" outlineLevel="0" collapsed="false">
      <c r="A147" s="6"/>
      <c r="B147" s="3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4"/>
    </row>
    <row r="148" customFormat="false" ht="15" hidden="false" customHeight="true" outlineLevel="0" collapsed="false">
      <c r="A148" s="6"/>
      <c r="B148" s="3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4"/>
    </row>
    <row r="149" customFormat="false" ht="15" hidden="false" customHeight="true" outlineLevel="0" collapsed="false">
      <c r="A149" s="6"/>
      <c r="B149" s="3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4"/>
    </row>
    <row r="150" customFormat="false" ht="15" hidden="false" customHeight="true" outlineLevel="0" collapsed="false">
      <c r="A150" s="6"/>
      <c r="B150" s="3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4"/>
    </row>
    <row r="151" customFormat="false" ht="15" hidden="false" customHeight="true" outlineLevel="0" collapsed="false">
      <c r="A151" s="6"/>
      <c r="B151" s="3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4"/>
    </row>
    <row r="152" customFormat="false" ht="15" hidden="false" customHeight="true" outlineLevel="0" collapsed="false">
      <c r="A152" s="6"/>
      <c r="B152" s="3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4"/>
    </row>
    <row r="153" customFormat="false" ht="15" hidden="false" customHeight="true" outlineLevel="0" collapsed="false">
      <c r="A153" s="6"/>
      <c r="B153" s="3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4"/>
    </row>
    <row r="154" customFormat="false" ht="15" hidden="false" customHeight="true" outlineLevel="0" collapsed="false">
      <c r="A154" s="6"/>
      <c r="B154" s="3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4"/>
    </row>
    <row r="155" customFormat="false" ht="15" hidden="false" customHeight="true" outlineLevel="0" collapsed="false">
      <c r="A155" s="6"/>
      <c r="B155" s="3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4"/>
    </row>
    <row r="156" customFormat="false" ht="15" hidden="false" customHeight="true" outlineLevel="0" collapsed="false">
      <c r="A156" s="6"/>
      <c r="B156" s="3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4"/>
    </row>
    <row r="157" customFormat="false" ht="15" hidden="false" customHeight="true" outlineLevel="0" collapsed="false">
      <c r="A157" s="6"/>
      <c r="B157" s="3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4"/>
    </row>
    <row r="158" customFormat="false" ht="15" hidden="false" customHeight="true" outlineLevel="0" collapsed="false">
      <c r="A158" s="6"/>
      <c r="B158" s="3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4"/>
    </row>
    <row r="159" customFormat="false" ht="15" hidden="false" customHeight="true" outlineLevel="0" collapsed="false">
      <c r="A159" s="6"/>
      <c r="B159" s="3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4"/>
    </row>
    <row r="160" customFormat="false" ht="15" hidden="false" customHeight="true" outlineLevel="0" collapsed="false">
      <c r="A160" s="6"/>
      <c r="B160" s="3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4"/>
    </row>
    <row r="161" customFormat="false" ht="15" hidden="false" customHeight="true" outlineLevel="0" collapsed="false">
      <c r="A161" s="6"/>
      <c r="B161" s="3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4"/>
    </row>
    <row r="162" customFormat="false" ht="15" hidden="false" customHeight="true" outlineLevel="0" collapsed="false">
      <c r="A162" s="6"/>
      <c r="B162" s="3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4"/>
    </row>
    <row r="163" customFormat="false" ht="15" hidden="false" customHeight="true" outlineLevel="0" collapsed="false">
      <c r="A163" s="6"/>
      <c r="B163" s="3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4"/>
    </row>
    <row r="164" customFormat="false" ht="15" hidden="false" customHeight="true" outlineLevel="0" collapsed="false">
      <c r="A164" s="6"/>
      <c r="B164" s="3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4"/>
    </row>
    <row r="165" customFormat="false" ht="15" hidden="false" customHeight="true" outlineLevel="0" collapsed="false">
      <c r="A165" s="6"/>
      <c r="B165" s="3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4"/>
    </row>
    <row r="166" customFormat="false" ht="15" hidden="false" customHeight="true" outlineLevel="0" collapsed="false">
      <c r="A166" s="6"/>
      <c r="B166" s="3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4"/>
    </row>
    <row r="167" customFormat="false" ht="15" hidden="false" customHeight="true" outlineLevel="0" collapsed="false">
      <c r="A167" s="6"/>
      <c r="B167" s="3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4"/>
    </row>
    <row r="168" customFormat="false" ht="15" hidden="false" customHeight="true" outlineLevel="0" collapsed="false">
      <c r="A168" s="6"/>
      <c r="B168" s="3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4"/>
    </row>
    <row r="169" customFormat="false" ht="15" hidden="false" customHeight="true" outlineLevel="0" collapsed="false">
      <c r="A169" s="6"/>
      <c r="B169" s="3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4"/>
    </row>
    <row r="170" customFormat="false" ht="15" hidden="false" customHeight="true" outlineLevel="0" collapsed="false">
      <c r="A170" s="6"/>
      <c r="B170" s="3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4"/>
    </row>
    <row r="171" customFormat="false" ht="15" hidden="false" customHeight="true" outlineLevel="0" collapsed="false">
      <c r="A171" s="6"/>
      <c r="B171" s="3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4"/>
    </row>
    <row r="172" customFormat="false" ht="15" hidden="false" customHeight="true" outlineLevel="0" collapsed="false">
      <c r="A172" s="6"/>
      <c r="B172" s="3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4"/>
    </row>
    <row r="173" customFormat="false" ht="15" hidden="false" customHeight="true" outlineLevel="0" collapsed="false">
      <c r="A173" s="6"/>
      <c r="B173" s="3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4"/>
    </row>
    <row r="174" customFormat="false" ht="15" hidden="false" customHeight="true" outlineLevel="0" collapsed="false">
      <c r="A174" s="6"/>
      <c r="B174" s="3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4"/>
    </row>
    <row r="175" customFormat="false" ht="15" hidden="false" customHeight="true" outlineLevel="0" collapsed="false">
      <c r="A175" s="6"/>
      <c r="B175" s="3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4"/>
    </row>
    <row r="176" customFormat="false" ht="15" hidden="false" customHeight="true" outlineLevel="0" collapsed="false">
      <c r="A176" s="6"/>
      <c r="B176" s="3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4"/>
    </row>
    <row r="177" customFormat="false" ht="15" hidden="false" customHeight="true" outlineLevel="0" collapsed="false">
      <c r="A177" s="6"/>
      <c r="B177" s="3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4"/>
    </row>
    <row r="178" customFormat="false" ht="15" hidden="false" customHeight="true" outlineLevel="0" collapsed="false">
      <c r="A178" s="6"/>
      <c r="B178" s="3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4"/>
    </row>
    <row r="179" customFormat="false" ht="15" hidden="false" customHeight="true" outlineLevel="0" collapsed="false">
      <c r="A179" s="6"/>
      <c r="B179" s="3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4"/>
    </row>
    <row r="180" customFormat="false" ht="15" hidden="false" customHeight="true" outlineLevel="0" collapsed="false">
      <c r="A180" s="6"/>
      <c r="B180" s="3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4"/>
    </row>
    <row r="181" customFormat="false" ht="15" hidden="false" customHeight="true" outlineLevel="0" collapsed="false">
      <c r="A181" s="6"/>
      <c r="B181" s="3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4"/>
    </row>
    <row r="182" customFormat="false" ht="15" hidden="false" customHeight="true" outlineLevel="0" collapsed="false">
      <c r="A182" s="6"/>
      <c r="B182" s="3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4"/>
    </row>
    <row r="183" customFormat="false" ht="15" hidden="false" customHeight="true" outlineLevel="0" collapsed="false">
      <c r="A183" s="6"/>
      <c r="B183" s="3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4"/>
    </row>
    <row r="184" customFormat="false" ht="15" hidden="false" customHeight="true" outlineLevel="0" collapsed="false">
      <c r="A184" s="6"/>
      <c r="B184" s="3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4"/>
    </row>
    <row r="185" customFormat="false" ht="15" hidden="false" customHeight="true" outlineLevel="0" collapsed="false">
      <c r="A185" s="6"/>
      <c r="B185" s="3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4"/>
    </row>
    <row r="186" customFormat="false" ht="15" hidden="false" customHeight="true" outlineLevel="0" collapsed="false">
      <c r="A186" s="6"/>
      <c r="B186" s="3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4"/>
    </row>
    <row r="187" customFormat="false" ht="15" hidden="false" customHeight="true" outlineLevel="0" collapsed="false">
      <c r="A187" s="6"/>
      <c r="B187" s="3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4"/>
    </row>
    <row r="188" customFormat="false" ht="15" hidden="false" customHeight="true" outlineLevel="0" collapsed="false">
      <c r="A188" s="6"/>
      <c r="B188" s="3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4"/>
    </row>
    <row r="189" customFormat="false" ht="15" hidden="false" customHeight="true" outlineLevel="0" collapsed="false">
      <c r="A189" s="6"/>
      <c r="B189" s="3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4"/>
    </row>
    <row r="190" customFormat="false" ht="15" hidden="false" customHeight="true" outlineLevel="0" collapsed="false">
      <c r="A190" s="6"/>
      <c r="B190" s="3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4"/>
    </row>
    <row r="191" customFormat="false" ht="15" hidden="false" customHeight="true" outlineLevel="0" collapsed="false">
      <c r="A191" s="6"/>
      <c r="B191" s="3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4"/>
    </row>
    <row r="192" customFormat="false" ht="15" hidden="false" customHeight="true" outlineLevel="0" collapsed="false">
      <c r="A192" s="6"/>
      <c r="B192" s="3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4"/>
    </row>
    <row r="193" customFormat="false" ht="15" hidden="false" customHeight="true" outlineLevel="0" collapsed="false">
      <c r="A193" s="6"/>
      <c r="B193" s="3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4"/>
    </row>
    <row r="194" customFormat="false" ht="15" hidden="false" customHeight="true" outlineLevel="0" collapsed="false">
      <c r="A194" s="6"/>
      <c r="B194" s="3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4"/>
    </row>
    <row r="195" customFormat="false" ht="15" hidden="false" customHeight="true" outlineLevel="0" collapsed="false">
      <c r="A195" s="6"/>
      <c r="B195" s="3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4"/>
    </row>
    <row r="196" customFormat="false" ht="15" hidden="false" customHeight="true" outlineLevel="0" collapsed="false">
      <c r="A196" s="6"/>
      <c r="B196" s="3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4"/>
    </row>
    <row r="197" customFormat="false" ht="15" hidden="false" customHeight="true" outlineLevel="0" collapsed="false">
      <c r="A197" s="6"/>
      <c r="B197" s="3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4"/>
    </row>
    <row r="198" customFormat="false" ht="15" hidden="false" customHeight="true" outlineLevel="0" collapsed="false">
      <c r="A198" s="6"/>
      <c r="B198" s="3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4"/>
    </row>
    <row r="199" customFormat="false" ht="15" hidden="false" customHeight="true" outlineLevel="0" collapsed="false">
      <c r="A199" s="6"/>
      <c r="B199" s="3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4"/>
    </row>
    <row r="200" customFormat="false" ht="15" hidden="false" customHeight="true" outlineLevel="0" collapsed="false">
      <c r="A200" s="6"/>
      <c r="B200" s="3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2026-09-25T21:58:07Z</dcterms:created>
  <dc:creator>openpyxl</dc:creator>
  <dc:description/>
  <dc:language>en-US</dc:language>
  <cp:lastModifiedBy/>
  <dcterms:modified xsi:type="dcterms:W3CDTF">2026-09-27T20:10:00Z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