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madzada\PycharmProjects\itv-capital-structure\outputs\"/>
    </mc:Choice>
  </mc:AlternateContent>
  <xr:revisionPtr revIDLastSave="0" documentId="13_ncr:1_{194B5AA1-81B9-4CD2-AAE6-EA912129D7B4}" xr6:coauthVersionLast="47" xr6:coauthVersionMax="47" xr10:uidLastSave="{00000000-0000-0000-0000-000000000000}"/>
  <bookViews>
    <workbookView xWindow="-120" yWindow="-120" windowWidth="29040" windowHeight="15990" activeTab="1" xr2:uid="{753BFA59-C49D-452C-ACCC-4C73BFF1E802}"/>
  </bookViews>
  <sheets>
    <sheet name="Assumptions" sheetId="1" r:id="rId1"/>
    <sheet name="Historicals" sheetId="2" r:id="rId2"/>
    <sheet name="Forecast" sheetId="3" r:id="rId3"/>
    <sheet name="Debt &amp; Liquidity" sheetId="4" r:id="rId4"/>
    <sheet name="Options" sheetId="5" r:id="rId5"/>
    <sheet name="Summary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31" i="3" l="1"/>
  <c r="D31" i="3"/>
  <c r="C27" i="3"/>
  <c r="C26" i="3"/>
  <c r="D26" i="3"/>
  <c r="C23" i="3"/>
  <c r="D23" i="3"/>
  <c r="C22" i="3"/>
  <c r="D22" i="3"/>
  <c r="C20" i="3"/>
  <c r="D20" i="3"/>
  <c r="C13" i="3"/>
  <c r="D13" i="3"/>
  <c r="C12" i="3"/>
  <c r="D12" i="3"/>
  <c r="C6" i="3"/>
  <c r="D6" i="3"/>
  <c r="B4" i="3"/>
  <c r="C4" i="3"/>
  <c r="D4" i="3"/>
  <c r="B5" i="3"/>
  <c r="C5" i="3"/>
  <c r="D5" i="3"/>
  <c r="B6" i="3"/>
  <c r="B7" i="3"/>
  <c r="C7" i="3"/>
  <c r="D7" i="3"/>
  <c r="B12" i="3"/>
  <c r="B14" i="3"/>
  <c r="C14" i="3"/>
  <c r="D14" i="3"/>
  <c r="B16" i="3"/>
  <c r="C16" i="3"/>
  <c r="D16" i="3"/>
  <c r="B20" i="3"/>
  <c r="B22" i="3" s="1"/>
  <c r="B21" i="3"/>
  <c r="C21" i="3"/>
  <c r="D21" i="3"/>
  <c r="B25" i="3"/>
  <c r="B8" i="3" l="1"/>
  <c r="B30" i="3" s="1"/>
  <c r="B11" i="3"/>
  <c r="B13" i="3" s="1"/>
  <c r="B17" i="3" s="1"/>
  <c r="B23" i="3" s="1"/>
  <c r="B26" i="3" s="1"/>
  <c r="B27" i="3" s="1"/>
  <c r="B15" i="3"/>
  <c r="C8" i="3"/>
  <c r="C30" i="3" s="1"/>
  <c r="C11" i="3"/>
  <c r="C15" i="3"/>
  <c r="D8" i="3"/>
  <c r="D30" i="3" s="1"/>
  <c r="D11" i="3"/>
  <c r="D15" i="3"/>
  <c r="C25" i="3" l="1"/>
  <c r="B31" i="3"/>
  <c r="D17" i="3"/>
  <c r="C17" i="3"/>
  <c r="D25" i="3" l="1"/>
  <c r="D27" i="3" s="1"/>
</calcChain>
</file>

<file path=xl/sharedStrings.xml><?xml version="1.0" encoding="utf-8"?>
<sst xmlns="http://schemas.openxmlformats.org/spreadsheetml/2006/main" count="78" uniqueCount="59">
  <si>
    <t>ITV Capital Structure Model — Assumptions</t>
  </si>
  <si>
    <t>Analysis date: 15 September 2026</t>
  </si>
  <si>
    <t>Revenue growth FY2026E</t>
  </si>
  <si>
    <t>H1 2026 guidance: 1% growth</t>
  </si>
  <si>
    <t>Revenue growth FY2027E</t>
  </si>
  <si>
    <t>Medium-term assumption</t>
  </si>
  <si>
    <t>Revenue growth FY2028E</t>
  </si>
  <si>
    <t>Adjusted EBITA margin</t>
  </si>
  <si>
    <t>FY2025 actual; within guided range</t>
  </si>
  <si>
    <t>Depreciation</t>
  </si>
  <si>
    <t>FY2025 actual</t>
  </si>
  <si>
    <t>Adjusted financing costs</t>
  </si>
  <si>
    <t>FY2026 guidance</t>
  </si>
  <si>
    <t>Effective tax rate</t>
  </si>
  <si>
    <t>Profit-to-cash conversion</t>
  </si>
  <si>
    <t>Medium-term guidance</t>
  </si>
  <si>
    <t>Dividend per share (pence)</t>
  </si>
  <si>
    <t>Shares outstanding (m)</t>
  </si>
  <si>
    <t>H1 2026 report weighted avg</t>
  </si>
  <si>
    <t>Opening net debt FY2025 (reported)</t>
  </si>
  <si>
    <t>FY2025 annual report</t>
  </si>
  <si>
    <t>Currency swap adjustment</t>
  </si>
  <si>
    <t>Reconciliation difference</t>
  </si>
  <si>
    <t>Historical Financials</t>
  </si>
  <si>
    <t>£m unless stated</t>
  </si>
  <si>
    <t>2024A</t>
  </si>
  <si>
    <t>2025A</t>
  </si>
  <si>
    <t>2026H1A</t>
  </si>
  <si>
    <t>Revenue</t>
  </si>
  <si>
    <t>Adjusted EBITA</t>
  </si>
  <si>
    <t>Covenant adjusted EBITDA</t>
  </si>
  <si>
    <t>Cash tax paid</t>
  </si>
  <si>
    <t>Capex</t>
  </si>
  <si>
    <t>Dividends paid</t>
  </si>
  <si>
    <t>Operating cash flow</t>
  </si>
  <si>
    <t>Free cash flow</t>
  </si>
  <si>
    <t>Cash</t>
  </si>
  <si>
    <t>Gross debt (loans &amp; facilities)</t>
  </si>
  <si>
    <t>Lease liabilities</t>
  </si>
  <si>
    <t>Reported net debt</t>
  </si>
  <si>
    <t>Net debt / covenant adj EBITDA</t>
  </si>
  <si>
    <t>0.8x</t>
  </si>
  <si>
    <t>1.0x</t>
  </si>
  <si>
    <t>Forecast Model</t>
  </si>
  <si>
    <t>P&amp;L (£m)</t>
  </si>
  <si>
    <t>Cash bridge (£m)</t>
  </si>
  <si>
    <t>Adjusted cash flow</t>
  </si>
  <si>
    <t>Cash financing costs</t>
  </si>
  <si>
    <t>Pension funding</t>
  </si>
  <si>
    <t>Distributions &amp; net debt (£m)</t>
  </si>
  <si>
    <t>Total dividends</t>
  </si>
  <si>
    <t>FCF after dividends</t>
  </si>
  <si>
    <t>Opening net debt</t>
  </si>
  <si>
    <t>Net debt movement</t>
  </si>
  <si>
    <t>Closing net debt</t>
  </si>
  <si>
    <t>Credit metrics</t>
  </si>
  <si>
    <t>Net debt / adj EBITDA</t>
  </si>
  <si>
    <t>Note: Base case assumes ITV continues as a combined entity. The M&amp;E sale to Sky (announced 6 July 2026, expected completion H2 2027) is treated as strategic context, not modelled into base-case financing.</t>
  </si>
  <si>
    <t>Note: Profit-to-cash conversion reflects ITV's medium-term guidance of ~80% adjusted cash flow / adjusted EBITA. FY2025 was 65% due to working capital build in ITV Studios; FY2026 guidance points to normalisation.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</si>
</sst>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6" formatCode="0.0"/>
    <numFmt numFmtId="167" formatCode="0.0\x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">
    <xf numFmtId="0" fontId="0" fillId="0" borderId="0" xfId="0"/>
    <xf numFmtId="0" fontId="0" fillId="0" borderId="0" xfId="0" applyAlignment="1">
      <alignment wrapText="1"/>
    </xf>
    <xf numFmtId="9" fontId="0" fillId="0" borderId="0" xfId="1" applyFont="1"/>
    <xf numFmtId="10" fontId="0" fillId="0" borderId="0" xfId="0" applyNumberFormat="1"/>
    <xf numFmtId="9" fontId="0" fillId="0" borderId="0" xfId="0" applyNumberFormat="1"/>
    <xf numFmtId="10" fontId="0" fillId="0" borderId="0" xfId="0" applyNumberFormat="1" applyAlignment="1">
      <alignment wrapText="1"/>
    </xf>
    <xf numFmtId="1" fontId="0" fillId="0" borderId="0" xfId="0" applyNumberFormat="1"/>
    <xf numFmtId="164" fontId="0" fillId="0" borderId="0" xfId="1" applyNumberFormat="1" applyFont="1"/>
    <xf numFmtId="0" fontId="0" fillId="0" borderId="0" xfId="0" applyNumberFormat="1"/>
    <xf numFmtId="0" fontId="0" fillId="0" borderId="0" xfId="1" applyNumberFormat="1" applyFont="1"/>
    <xf numFmtId="166" fontId="0" fillId="0" borderId="0" xfId="0" applyNumberFormat="1"/>
    <xf numFmtId="166" fontId="0" fillId="0" borderId="0" xfId="1" applyNumberFormat="1" applyFont="1"/>
    <xf numFmtId="167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23C6E4-D830-48D3-A73F-F36E8B8B3F65}">
  <dimension ref="A1:C17"/>
  <sheetViews>
    <sheetView zoomScaleNormal="100" workbookViewId="0">
      <selection activeCell="A17" sqref="A17"/>
    </sheetView>
  </sheetViews>
  <sheetFormatPr defaultRowHeight="15" x14ac:dyDescent="0.25"/>
  <sheetData>
    <row r="1" spans="1:3" x14ac:dyDescent="0.25">
      <c r="A1" s="1" t="s">
        <v>0</v>
      </c>
      <c r="B1" s="5"/>
    </row>
    <row r="2" spans="1:3" x14ac:dyDescent="0.25">
      <c r="A2" t="s">
        <v>1</v>
      </c>
    </row>
    <row r="4" spans="1:3" x14ac:dyDescent="0.25">
      <c r="A4" t="s">
        <v>2</v>
      </c>
      <c r="B4" s="3">
        <v>0.01</v>
      </c>
      <c r="C4" t="s">
        <v>3</v>
      </c>
    </row>
    <row r="5" spans="1:3" x14ac:dyDescent="0.25">
      <c r="A5" t="s">
        <v>4</v>
      </c>
      <c r="B5" s="3">
        <v>0.01</v>
      </c>
      <c r="C5" t="s">
        <v>5</v>
      </c>
    </row>
    <row r="6" spans="1:3" x14ac:dyDescent="0.25">
      <c r="A6" t="s">
        <v>6</v>
      </c>
      <c r="B6" s="3">
        <v>0.01</v>
      </c>
      <c r="C6" t="s">
        <v>5</v>
      </c>
    </row>
    <row r="7" spans="1:3" x14ac:dyDescent="0.25">
      <c r="A7" t="s">
        <v>7</v>
      </c>
      <c r="B7" s="3">
        <v>0.152</v>
      </c>
      <c r="C7" t="s">
        <v>8</v>
      </c>
    </row>
    <row r="8" spans="1:3" x14ac:dyDescent="0.25">
      <c r="A8" t="s">
        <v>9</v>
      </c>
      <c r="B8">
        <v>48</v>
      </c>
      <c r="C8" t="s">
        <v>10</v>
      </c>
    </row>
    <row r="9" spans="1:3" x14ac:dyDescent="0.25">
      <c r="A9" t="s">
        <v>11</v>
      </c>
      <c r="B9">
        <v>40</v>
      </c>
      <c r="C9" t="s">
        <v>12</v>
      </c>
    </row>
    <row r="10" spans="1:3" x14ac:dyDescent="0.25">
      <c r="A10" t="s">
        <v>13</v>
      </c>
      <c r="B10" s="4">
        <v>0.27</v>
      </c>
      <c r="C10" t="s">
        <v>12</v>
      </c>
    </row>
    <row r="11" spans="1:3" x14ac:dyDescent="0.25">
      <c r="A11" t="s">
        <v>14</v>
      </c>
      <c r="B11" s="4">
        <v>0.8</v>
      </c>
      <c r="C11" t="s">
        <v>15</v>
      </c>
    </row>
    <row r="12" spans="1:3" x14ac:dyDescent="0.25">
      <c r="A12" t="s">
        <v>16</v>
      </c>
      <c r="B12">
        <v>5</v>
      </c>
      <c r="C12" t="s">
        <v>12</v>
      </c>
    </row>
    <row r="13" spans="1:3" x14ac:dyDescent="0.25">
      <c r="A13" t="s">
        <v>17</v>
      </c>
      <c r="B13">
        <v>3752</v>
      </c>
      <c r="C13" t="s">
        <v>18</v>
      </c>
    </row>
    <row r="14" spans="1:3" x14ac:dyDescent="0.25">
      <c r="A14" t="s">
        <v>19</v>
      </c>
      <c r="B14">
        <v>566</v>
      </c>
      <c r="C14" t="s">
        <v>20</v>
      </c>
    </row>
    <row r="15" spans="1:3" x14ac:dyDescent="0.25">
      <c r="A15" t="s">
        <v>21</v>
      </c>
      <c r="B15">
        <v>-8</v>
      </c>
      <c r="C15" t="s">
        <v>22</v>
      </c>
    </row>
    <row r="17" spans="1:1" x14ac:dyDescent="0.25">
      <c r="A17" t="s">
        <v>58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28EA7A-5734-47D4-860D-37ED6A7DDF16}">
  <dimension ref="A1:D18"/>
  <sheetViews>
    <sheetView tabSelected="1" workbookViewId="0">
      <selection activeCell="E6" sqref="E6"/>
    </sheetView>
  </sheetViews>
  <sheetFormatPr defaultRowHeight="15" x14ac:dyDescent="0.25"/>
  <cols>
    <col min="2" max="2" width="9.140625" style="6"/>
  </cols>
  <sheetData>
    <row r="1" spans="1:4" x14ac:dyDescent="0.25">
      <c r="A1" s="1" t="s">
        <v>23</v>
      </c>
    </row>
    <row r="2" spans="1:4" x14ac:dyDescent="0.25">
      <c r="A2" t="s">
        <v>24</v>
      </c>
    </row>
    <row r="3" spans="1:4" x14ac:dyDescent="0.25">
      <c r="B3" s="6" t="s">
        <v>25</v>
      </c>
      <c r="C3" t="s">
        <v>26</v>
      </c>
      <c r="D3" t="s">
        <v>27</v>
      </c>
    </row>
    <row r="4" spans="1:4" x14ac:dyDescent="0.25">
      <c r="A4" t="s">
        <v>28</v>
      </c>
      <c r="B4" s="6">
        <v>3488</v>
      </c>
      <c r="C4">
        <v>3511</v>
      </c>
      <c r="D4">
        <v>1603</v>
      </c>
    </row>
    <row r="5" spans="1:4" x14ac:dyDescent="0.25">
      <c r="A5" t="s">
        <v>29</v>
      </c>
      <c r="B5" s="6">
        <v>542</v>
      </c>
      <c r="C5">
        <v>534</v>
      </c>
      <c r="D5">
        <v>146</v>
      </c>
    </row>
    <row r="6" spans="1:4" x14ac:dyDescent="0.25">
      <c r="A6" t="s">
        <v>7</v>
      </c>
      <c r="B6" s="7">
        <v>0.155</v>
      </c>
      <c r="C6" s="7">
        <v>0.152</v>
      </c>
      <c r="D6" s="7">
        <v>9.0999999999999998E-2</v>
      </c>
    </row>
    <row r="7" spans="1:4" x14ac:dyDescent="0.25">
      <c r="A7" t="s">
        <v>30</v>
      </c>
      <c r="B7" s="6">
        <v>548</v>
      </c>
      <c r="C7">
        <v>555</v>
      </c>
      <c r="D7">
        <v>555</v>
      </c>
    </row>
    <row r="8" spans="1:4" x14ac:dyDescent="0.25">
      <c r="A8" t="s">
        <v>11</v>
      </c>
      <c r="B8" s="6">
        <v>25</v>
      </c>
      <c r="C8">
        <v>43</v>
      </c>
      <c r="D8">
        <v>20</v>
      </c>
    </row>
    <row r="9" spans="1:4" x14ac:dyDescent="0.25">
      <c r="A9" t="s">
        <v>31</v>
      </c>
      <c r="B9" s="6">
        <v>27</v>
      </c>
      <c r="C9">
        <v>35</v>
      </c>
      <c r="D9">
        <v>25</v>
      </c>
    </row>
    <row r="10" spans="1:4" x14ac:dyDescent="0.25">
      <c r="A10" t="s">
        <v>32</v>
      </c>
      <c r="B10" s="6">
        <v>49</v>
      </c>
      <c r="C10">
        <v>54</v>
      </c>
      <c r="D10">
        <v>26</v>
      </c>
    </row>
    <row r="11" spans="1:4" x14ac:dyDescent="0.25">
      <c r="A11" t="s">
        <v>33</v>
      </c>
      <c r="B11" s="6">
        <v>198</v>
      </c>
      <c r="C11">
        <v>187</v>
      </c>
      <c r="D11">
        <v>124</v>
      </c>
    </row>
    <row r="12" spans="1:4" x14ac:dyDescent="0.25">
      <c r="A12" t="s">
        <v>34</v>
      </c>
      <c r="B12" s="6">
        <v>333</v>
      </c>
      <c r="C12">
        <v>202</v>
      </c>
      <c r="D12">
        <v>75</v>
      </c>
    </row>
    <row r="13" spans="1:4" x14ac:dyDescent="0.25">
      <c r="A13" t="s">
        <v>35</v>
      </c>
      <c r="B13" s="6">
        <v>325</v>
      </c>
      <c r="C13">
        <v>187</v>
      </c>
      <c r="D13">
        <v>40</v>
      </c>
    </row>
    <row r="14" spans="1:4" x14ac:dyDescent="0.25">
      <c r="A14" t="s">
        <v>36</v>
      </c>
      <c r="B14" s="6">
        <v>427</v>
      </c>
      <c r="C14">
        <v>302</v>
      </c>
      <c r="D14">
        <v>264</v>
      </c>
    </row>
    <row r="15" spans="1:4" x14ac:dyDescent="0.25">
      <c r="A15" t="s">
        <v>37</v>
      </c>
      <c r="B15" s="6">
        <v>733</v>
      </c>
      <c r="C15">
        <v>765</v>
      </c>
      <c r="D15">
        <v>807</v>
      </c>
    </row>
    <row r="16" spans="1:4" x14ac:dyDescent="0.25">
      <c r="A16" t="s">
        <v>38</v>
      </c>
      <c r="B16" s="6">
        <v>105</v>
      </c>
      <c r="C16">
        <v>111</v>
      </c>
      <c r="D16">
        <v>109</v>
      </c>
    </row>
    <row r="17" spans="1:4" x14ac:dyDescent="0.25">
      <c r="A17" t="s">
        <v>39</v>
      </c>
      <c r="B17" s="6">
        <v>431</v>
      </c>
      <c r="C17">
        <v>566</v>
      </c>
      <c r="D17">
        <v>652</v>
      </c>
    </row>
    <row r="18" spans="1:4" x14ac:dyDescent="0.25">
      <c r="A18" t="s">
        <v>40</v>
      </c>
      <c r="B18" s="6" t="s">
        <v>41</v>
      </c>
      <c r="C18" t="s">
        <v>42</v>
      </c>
      <c r="D18" t="s">
        <v>42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F897B6-ABF3-4855-A48E-7C4163BAF829}">
  <dimension ref="A1:F31"/>
  <sheetViews>
    <sheetView workbookViewId="0">
      <selection activeCell="L21" sqref="L21"/>
    </sheetView>
  </sheetViews>
  <sheetFormatPr defaultRowHeight="15" x14ac:dyDescent="0.25"/>
  <cols>
    <col min="1" max="4" width="9.140625" style="8"/>
  </cols>
  <sheetData>
    <row r="1" spans="1:6" x14ac:dyDescent="0.25">
      <c r="A1" s="8" t="s">
        <v>43</v>
      </c>
      <c r="F1" t="s">
        <v>57</v>
      </c>
    </row>
    <row r="2" spans="1:6" x14ac:dyDescent="0.25">
      <c r="A2" s="8" t="s">
        <v>1</v>
      </c>
    </row>
    <row r="3" spans="1:6" x14ac:dyDescent="0.25">
      <c r="A3" s="8" t="s">
        <v>44</v>
      </c>
    </row>
    <row r="4" spans="1:6" x14ac:dyDescent="0.25">
      <c r="A4" s="8" t="s">
        <v>28</v>
      </c>
      <c r="B4" s="8">
        <f>Historicals!C4*(1+Assumptions!$B$4)</f>
        <v>3546.11</v>
      </c>
      <c r="C4" s="8">
        <f>B4*(1+Assumptions!$B$5)</f>
        <v>3581.5711000000001</v>
      </c>
      <c r="D4" s="8">
        <f>C4*(1+Assumptions!$B$6)</f>
        <v>3617.3868110000003</v>
      </c>
    </row>
    <row r="5" spans="1:6" x14ac:dyDescent="0.25">
      <c r="A5" s="8" t="s">
        <v>29</v>
      </c>
      <c r="B5" s="8">
        <f>B4*Assumptions!$B$7</f>
        <v>539.00872000000004</v>
      </c>
      <c r="C5" s="8">
        <f>C4*Assumptions!$B$7</f>
        <v>544.39880719999996</v>
      </c>
      <c r="D5" s="8">
        <f>D4*Assumptions!$B$7</f>
        <v>549.84279527199999</v>
      </c>
    </row>
    <row r="6" spans="1:6" x14ac:dyDescent="0.25">
      <c r="A6" s="8" t="s">
        <v>7</v>
      </c>
      <c r="B6" s="7">
        <f>B5/B4</f>
        <v>0.152</v>
      </c>
      <c r="C6" s="7">
        <f t="shared" ref="C6:D6" si="0">C5/C4</f>
        <v>0.152</v>
      </c>
      <c r="D6" s="7">
        <f t="shared" si="0"/>
        <v>0.152</v>
      </c>
    </row>
    <row r="7" spans="1:6" x14ac:dyDescent="0.25">
      <c r="A7" s="8" t="s">
        <v>9</v>
      </c>
      <c r="B7" s="8">
        <f>Assumptions!$B$8</f>
        <v>48</v>
      </c>
      <c r="C7" s="8">
        <f>Assumptions!$B$8</f>
        <v>48</v>
      </c>
      <c r="D7" s="8">
        <f>Assumptions!$B$8</f>
        <v>48</v>
      </c>
    </row>
    <row r="8" spans="1:6" x14ac:dyDescent="0.25">
      <c r="A8" s="8" t="s">
        <v>30</v>
      </c>
      <c r="B8" s="8">
        <f>B5+B7</f>
        <v>587.00872000000004</v>
      </c>
      <c r="C8" s="8">
        <f>C5+C7</f>
        <v>592.39880719999996</v>
      </c>
      <c r="D8" s="8">
        <f>D5+D7</f>
        <v>597.84279527199999</v>
      </c>
    </row>
    <row r="10" spans="1:6" x14ac:dyDescent="0.25">
      <c r="A10" s="8" t="s">
        <v>45</v>
      </c>
    </row>
    <row r="11" spans="1:6" x14ac:dyDescent="0.25">
      <c r="A11" s="8" t="s">
        <v>29</v>
      </c>
      <c r="B11" s="8">
        <f>B5</f>
        <v>539.00872000000004</v>
      </c>
      <c r="C11" s="8">
        <f>C5</f>
        <v>544.39880719999996</v>
      </c>
      <c r="D11" s="8">
        <f>D5</f>
        <v>549.84279527199999</v>
      </c>
    </row>
    <row r="12" spans="1:6" x14ac:dyDescent="0.25">
      <c r="A12" s="8" t="s">
        <v>14</v>
      </c>
      <c r="B12" s="2">
        <f>Assumptions!$B$11</f>
        <v>0.8</v>
      </c>
      <c r="C12" s="2">
        <f>Assumptions!$B$11</f>
        <v>0.8</v>
      </c>
      <c r="D12" s="2">
        <f>Assumptions!$B$11</f>
        <v>0.8</v>
      </c>
    </row>
    <row r="13" spans="1:6" x14ac:dyDescent="0.25">
      <c r="A13" s="8" t="s">
        <v>46</v>
      </c>
      <c r="B13" s="10">
        <f>B11*B12</f>
        <v>431.20697600000005</v>
      </c>
      <c r="C13" s="10">
        <f t="shared" ref="C13:D13" si="1">C11*C12</f>
        <v>435.51904575999998</v>
      </c>
      <c r="D13" s="10">
        <f t="shared" si="1"/>
        <v>439.87423621760001</v>
      </c>
    </row>
    <row r="14" spans="1:6" x14ac:dyDescent="0.25">
      <c r="A14" s="8" t="s">
        <v>47</v>
      </c>
      <c r="B14" s="9">
        <f>-Assumptions!$B$9</f>
        <v>-40</v>
      </c>
      <c r="C14" s="9">
        <f>-Assumptions!$B$9</f>
        <v>-40</v>
      </c>
      <c r="D14" s="9">
        <f>-Assumptions!$B$9</f>
        <v>-40</v>
      </c>
    </row>
    <row r="15" spans="1:6" x14ac:dyDescent="0.25">
      <c r="A15" s="8" t="s">
        <v>31</v>
      </c>
      <c r="B15" s="8">
        <f>-B5*Assumptions!$B$10</f>
        <v>-145.53235440000003</v>
      </c>
      <c r="C15" s="8">
        <f>-C5*Assumptions!$B$10</f>
        <v>-146.98767794400001</v>
      </c>
      <c r="D15" s="8">
        <f>-D5*Assumptions!$B$10</f>
        <v>-148.45755472344001</v>
      </c>
    </row>
    <row r="16" spans="1:6" x14ac:dyDescent="0.25">
      <c r="A16" s="8" t="s">
        <v>48</v>
      </c>
      <c r="B16" s="8">
        <f>-3</f>
        <v>-3</v>
      </c>
      <c r="C16" s="8">
        <f>-3</f>
        <v>-3</v>
      </c>
      <c r="D16" s="8">
        <f>-3</f>
        <v>-3</v>
      </c>
    </row>
    <row r="17" spans="1:4" x14ac:dyDescent="0.25">
      <c r="A17" s="8" t="s">
        <v>35</v>
      </c>
      <c r="B17" s="10">
        <f>SUM(B13:B16)</f>
        <v>242.67462160000002</v>
      </c>
      <c r="C17" s="10">
        <f>SUM(C13:C16)</f>
        <v>245.53136781599997</v>
      </c>
      <c r="D17" s="10">
        <f>SUM(D13:D16)</f>
        <v>248.41668149416</v>
      </c>
    </row>
    <row r="19" spans="1:4" x14ac:dyDescent="0.25">
      <c r="A19" s="8" t="s">
        <v>49</v>
      </c>
    </row>
    <row r="20" spans="1:4" x14ac:dyDescent="0.25">
      <c r="A20" s="8" t="s">
        <v>16</v>
      </c>
      <c r="B20" s="10">
        <f>Assumptions!$B$12</f>
        <v>5</v>
      </c>
      <c r="C20" s="10">
        <f>Assumptions!$B$12</f>
        <v>5</v>
      </c>
      <c r="D20" s="10">
        <f>Assumptions!$B$12</f>
        <v>5</v>
      </c>
    </row>
    <row r="21" spans="1:4" x14ac:dyDescent="0.25">
      <c r="A21" s="8" t="s">
        <v>17</v>
      </c>
      <c r="B21" s="8">
        <f>Assumptions!$B$13</f>
        <v>3752</v>
      </c>
      <c r="C21" s="8">
        <f>Assumptions!$B$13</f>
        <v>3752</v>
      </c>
      <c r="D21" s="8">
        <f>Assumptions!$B$13</f>
        <v>3752</v>
      </c>
    </row>
    <row r="22" spans="1:4" x14ac:dyDescent="0.25">
      <c r="A22" s="8" t="s">
        <v>50</v>
      </c>
      <c r="B22" s="11">
        <f>-B20*B21/100</f>
        <v>-187.6</v>
      </c>
      <c r="C22" s="11">
        <f t="shared" ref="C22:D22" si="2">-C20*C21/100</f>
        <v>-187.6</v>
      </c>
      <c r="D22" s="11">
        <f t="shared" si="2"/>
        <v>-187.6</v>
      </c>
    </row>
    <row r="23" spans="1:4" x14ac:dyDescent="0.25">
      <c r="A23" s="8" t="s">
        <v>51</v>
      </c>
      <c r="B23" s="10">
        <f>B17+B22</f>
        <v>55.074621600000029</v>
      </c>
      <c r="C23" s="10">
        <f t="shared" ref="C23:D23" si="3">C17+C22</f>
        <v>57.931367815999977</v>
      </c>
      <c r="D23" s="10">
        <f t="shared" si="3"/>
        <v>60.816681494160008</v>
      </c>
    </row>
    <row r="25" spans="1:4" x14ac:dyDescent="0.25">
      <c r="A25" s="8" t="s">
        <v>52</v>
      </c>
      <c r="B25" s="8">
        <f>-Assumptions!$B$14</f>
        <v>-566</v>
      </c>
      <c r="C25" s="8">
        <f>B27</f>
        <v>-510.9253784</v>
      </c>
      <c r="D25" s="8">
        <f>C27</f>
        <v>-452.99401058400002</v>
      </c>
    </row>
    <row r="26" spans="1:4" x14ac:dyDescent="0.25">
      <c r="A26" s="8" t="s">
        <v>53</v>
      </c>
      <c r="B26" s="10">
        <f>B23</f>
        <v>55.074621600000029</v>
      </c>
      <c r="C26" s="10">
        <f t="shared" ref="C26:D26" si="4">C23</f>
        <v>57.931367815999977</v>
      </c>
      <c r="D26" s="10">
        <f t="shared" si="4"/>
        <v>60.816681494160008</v>
      </c>
    </row>
    <row r="27" spans="1:4" x14ac:dyDescent="0.25">
      <c r="A27" s="8" t="s">
        <v>54</v>
      </c>
      <c r="B27" s="10">
        <f>B25+B26</f>
        <v>-510.9253784</v>
      </c>
      <c r="C27" s="10">
        <f t="shared" ref="C27:D27" si="5">C25+C26</f>
        <v>-452.99401058400002</v>
      </c>
      <c r="D27" s="10">
        <f t="shared" si="5"/>
        <v>-392.17732908983999</v>
      </c>
    </row>
    <row r="29" spans="1:4" x14ac:dyDescent="0.25">
      <c r="A29" s="8" t="s">
        <v>55</v>
      </c>
    </row>
    <row r="30" spans="1:4" x14ac:dyDescent="0.25">
      <c r="A30" s="8" t="s">
        <v>30</v>
      </c>
      <c r="B30" s="9">
        <f>B8</f>
        <v>587.00872000000004</v>
      </c>
      <c r="C30" s="9">
        <f>C8</f>
        <v>592.39880719999996</v>
      </c>
      <c r="D30" s="9">
        <f>D8</f>
        <v>597.84279527199999</v>
      </c>
    </row>
    <row r="31" spans="1:4" x14ac:dyDescent="0.25">
      <c r="A31" s="8" t="s">
        <v>56</v>
      </c>
      <c r="B31" s="12">
        <f>-B27/B30</f>
        <v>0.870388055564149</v>
      </c>
      <c r="C31" s="12">
        <f t="shared" ref="C31:D31" si="6">-C27/C30</f>
        <v>0.76467745221347916</v>
      </c>
      <c r="D31" s="12">
        <f t="shared" si="6"/>
        <v>0.6559873802801478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F473B5-84F3-40C5-8240-A8BCD6A0534A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64EA2B-A52C-42CE-8662-15D4DAAB7656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7FDCC2-5F48-4055-BF0C-EDE574A1E4BF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Assumptions</vt:lpstr>
      <vt:lpstr>Historicals</vt:lpstr>
      <vt:lpstr>Forecast</vt:lpstr>
      <vt:lpstr>Debt &amp; Liquidity</vt:lpstr>
      <vt:lpstr>Options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Aryan Samadzada</dc:creator>
  <cp:lastModifiedBy>Aryan Samadzada</cp:lastModifiedBy>
  <dcterms:created xsi:type="dcterms:W3CDTF">2026-09-17T15:21:54Z</dcterms:created>
  <dcterms:modified xsi:type="dcterms:W3CDTF">2026-09-17T16:37:49Z</dcterms:modified>
</cp:coreProperties>
</file>